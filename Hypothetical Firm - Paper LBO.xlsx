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ko\Desktop\IB Work\"/>
    </mc:Choice>
  </mc:AlternateContent>
  <xr:revisionPtr revIDLastSave="0" documentId="13_ncr:1_{BBD71023-7A3A-4670-81E6-F15AFDD241C9}" xr6:coauthVersionLast="47" xr6:coauthVersionMax="47" xr10:uidLastSave="{00000000-0000-0000-0000-000000000000}"/>
  <bookViews>
    <workbookView xWindow="-120" yWindow="-120" windowWidth="29040" windowHeight="15840" xr2:uid="{9C873013-5783-4928-A48E-4830AE83ECE2}"/>
  </bookViews>
  <sheets>
    <sheet name="L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M79" i="1"/>
  <c r="N79" i="1"/>
  <c r="O79" i="1"/>
  <c r="K79" i="1"/>
  <c r="L61" i="1"/>
  <c r="M61" i="1"/>
  <c r="N61" i="1"/>
  <c r="O61" i="1"/>
  <c r="K61" i="1"/>
  <c r="L85" i="1"/>
  <c r="M85" i="1"/>
  <c r="N85" i="1"/>
  <c r="O85" i="1"/>
  <c r="K85" i="1"/>
  <c r="L82" i="1"/>
  <c r="M82" i="1"/>
  <c r="N82" i="1"/>
  <c r="O82" i="1"/>
  <c r="K82" i="1"/>
  <c r="O134" i="1"/>
  <c r="J122" i="1"/>
  <c r="K118" i="1" s="1"/>
  <c r="K119" i="1" s="1"/>
  <c r="J115" i="1"/>
  <c r="K111" i="1" s="1"/>
  <c r="L113" i="1" s="1"/>
  <c r="K99" i="1"/>
  <c r="L99" i="1"/>
  <c r="M99" i="1"/>
  <c r="N99" i="1"/>
  <c r="O99" i="1"/>
  <c r="J99" i="1"/>
  <c r="J98" i="1"/>
  <c r="K97" i="1"/>
  <c r="L97" i="1" s="1"/>
  <c r="M97" i="1" s="1"/>
  <c r="N97" i="1" s="1"/>
  <c r="O97" i="1" s="1"/>
  <c r="J108" i="1"/>
  <c r="K104" i="1" s="1"/>
  <c r="J92" i="1"/>
  <c r="K88" i="1"/>
  <c r="L88" i="1" s="1"/>
  <c r="M88" i="1" s="1"/>
  <c r="N88" i="1" s="1"/>
  <c r="O88" i="1" s="1"/>
  <c r="J84" i="1"/>
  <c r="J81" i="1"/>
  <c r="J91" i="1" s="1"/>
  <c r="J78" i="1"/>
  <c r="K77" i="1"/>
  <c r="L77" i="1" s="1"/>
  <c r="M77" i="1" s="1"/>
  <c r="N77" i="1" s="1"/>
  <c r="O77" i="1" s="1"/>
  <c r="J72" i="1"/>
  <c r="K72" i="1" s="1"/>
  <c r="L72" i="1" s="1"/>
  <c r="M72" i="1" s="1"/>
  <c r="J66" i="1"/>
  <c r="J54" i="1"/>
  <c r="J60" i="1"/>
  <c r="J48" i="1"/>
  <c r="L46" i="1"/>
  <c r="M46" i="1"/>
  <c r="N46" i="1"/>
  <c r="O46" i="1"/>
  <c r="K46" i="1"/>
  <c r="J45" i="1"/>
  <c r="K44" i="1"/>
  <c r="L44" i="1" s="1"/>
  <c r="M44" i="1" s="1"/>
  <c r="N44" i="1" s="1"/>
  <c r="O44" i="1" s="1"/>
  <c r="M36" i="1"/>
  <c r="I9" i="1"/>
  <c r="I11" i="1"/>
  <c r="M33" i="1" s="1"/>
  <c r="E35" i="1"/>
  <c r="E34" i="1"/>
  <c r="E33" i="1"/>
  <c r="I14" i="1"/>
  <c r="K21" i="1"/>
  <c r="L21" i="1" s="1"/>
  <c r="M21" i="1" s="1"/>
  <c r="N21" i="1" s="1"/>
  <c r="K113" i="1" l="1"/>
  <c r="O113" i="1"/>
  <c r="N113" i="1"/>
  <c r="M113" i="1"/>
  <c r="K112" i="1"/>
  <c r="J129" i="1"/>
  <c r="K125" i="1" s="1"/>
  <c r="K127" i="1"/>
  <c r="K105" i="1"/>
  <c r="J51" i="1"/>
  <c r="J52" i="1" s="1"/>
  <c r="E36" i="1"/>
  <c r="J49" i="1"/>
  <c r="K49" i="1" s="1"/>
  <c r="L49" i="1" s="1"/>
  <c r="M49" i="1" s="1"/>
  <c r="N49" i="1" s="1"/>
  <c r="O49" i="1" s="1"/>
  <c r="K45" i="1"/>
  <c r="J79" i="1"/>
  <c r="J85" i="1"/>
  <c r="J61" i="1"/>
  <c r="J82" i="1"/>
  <c r="J55" i="1"/>
  <c r="K55" i="1" s="1"/>
  <c r="J90" i="1"/>
  <c r="N72" i="1"/>
  <c r="K126" i="1" l="1"/>
  <c r="K66" i="1" s="1"/>
  <c r="J57" i="1"/>
  <c r="J68" i="1" s="1"/>
  <c r="J71" i="1" s="1"/>
  <c r="J74" i="1" s="1"/>
  <c r="K60" i="1"/>
  <c r="K54" i="1"/>
  <c r="L45" i="1"/>
  <c r="L78" i="1" s="1"/>
  <c r="L90" i="1" s="1"/>
  <c r="K48" i="1"/>
  <c r="K51" i="1" s="1"/>
  <c r="K52" i="1" s="1"/>
  <c r="K78" i="1"/>
  <c r="K90" i="1" s="1"/>
  <c r="K84" i="1"/>
  <c r="K86" i="1" s="1"/>
  <c r="K92" i="1" s="1"/>
  <c r="K81" i="1"/>
  <c r="K91" i="1" s="1"/>
  <c r="L55" i="1"/>
  <c r="M55" i="1" s="1"/>
  <c r="O72" i="1"/>
  <c r="J58" i="1" l="1"/>
  <c r="J63" i="1"/>
  <c r="J64" i="1" s="1"/>
  <c r="J69" i="1"/>
  <c r="K57" i="1"/>
  <c r="K68" i="1" s="1"/>
  <c r="K69" i="1" s="1"/>
  <c r="L48" i="1"/>
  <c r="L51" i="1" s="1"/>
  <c r="M45" i="1"/>
  <c r="M60" i="1" s="1"/>
  <c r="L54" i="1"/>
  <c r="L60" i="1"/>
  <c r="L81" i="1"/>
  <c r="L91" i="1" s="1"/>
  <c r="L84" i="1"/>
  <c r="L86" i="1" s="1"/>
  <c r="L92" i="1" s="1"/>
  <c r="J75" i="1"/>
  <c r="J89" i="1"/>
  <c r="N55" i="1"/>
  <c r="M54" i="1" l="1"/>
  <c r="I8" i="1"/>
  <c r="F33" i="1" s="1"/>
  <c r="K63" i="1"/>
  <c r="K64" i="1" s="1"/>
  <c r="K58" i="1"/>
  <c r="K71" i="1"/>
  <c r="K74" i="1" s="1"/>
  <c r="K75" i="1" s="1"/>
  <c r="M84" i="1"/>
  <c r="M86" i="1" s="1"/>
  <c r="M92" i="1" s="1"/>
  <c r="M48" i="1"/>
  <c r="M51" i="1" s="1"/>
  <c r="M52" i="1" s="1"/>
  <c r="M81" i="1"/>
  <c r="M91" i="1" s="1"/>
  <c r="N45" i="1"/>
  <c r="O45" i="1" s="1"/>
  <c r="M78" i="1"/>
  <c r="M90" i="1" s="1"/>
  <c r="L52" i="1"/>
  <c r="L57" i="1"/>
  <c r="O55" i="1"/>
  <c r="I10" i="1" l="1"/>
  <c r="I12" i="1" s="1"/>
  <c r="M34" i="1" s="1"/>
  <c r="N33" i="1"/>
  <c r="F35" i="1"/>
  <c r="N54" i="1"/>
  <c r="F34" i="1"/>
  <c r="K89" i="1"/>
  <c r="K93" i="1" s="1"/>
  <c r="K98" i="1" s="1"/>
  <c r="K100" i="1" s="1"/>
  <c r="K101" i="1" s="1"/>
  <c r="N36" i="1"/>
  <c r="N48" i="1"/>
  <c r="N51" i="1" s="1"/>
  <c r="N81" i="1"/>
  <c r="N91" i="1" s="1"/>
  <c r="M57" i="1"/>
  <c r="N84" i="1"/>
  <c r="N86" i="1" s="1"/>
  <c r="N92" i="1" s="1"/>
  <c r="N78" i="1"/>
  <c r="N90" i="1" s="1"/>
  <c r="N60" i="1"/>
  <c r="O54" i="1"/>
  <c r="L58" i="1"/>
  <c r="L63" i="1"/>
  <c r="L64" i="1" s="1"/>
  <c r="O78" i="1"/>
  <c r="O90" i="1" s="1"/>
  <c r="O84" i="1"/>
  <c r="O81" i="1"/>
  <c r="O91" i="1" s="1"/>
  <c r="O48" i="1"/>
  <c r="O51" i="1" s="1"/>
  <c r="O60" i="1"/>
  <c r="K107" i="1" l="1"/>
  <c r="K114" i="1" s="1"/>
  <c r="F36" i="1"/>
  <c r="O86" i="1"/>
  <c r="O92" i="1" s="1"/>
  <c r="N52" i="1"/>
  <c r="N57" i="1"/>
  <c r="M58" i="1"/>
  <c r="M63" i="1"/>
  <c r="M64" i="1" s="1"/>
  <c r="O52" i="1"/>
  <c r="O57" i="1"/>
  <c r="M40" i="1"/>
  <c r="N34" i="1"/>
  <c r="N40" i="1" s="1"/>
  <c r="K121" i="1" l="1"/>
  <c r="K108" i="1"/>
  <c r="L104" i="1" s="1"/>
  <c r="L105" i="1" s="1"/>
  <c r="K115" i="1"/>
  <c r="L111" i="1" s="1"/>
  <c r="N58" i="1"/>
  <c r="N63" i="1"/>
  <c r="N64" i="1" s="1"/>
  <c r="E40" i="1"/>
  <c r="O33" i="1"/>
  <c r="O36" i="1"/>
  <c r="O34" i="1"/>
  <c r="O58" i="1"/>
  <c r="O63" i="1"/>
  <c r="O64" i="1" l="1"/>
  <c r="O133" i="1"/>
  <c r="O135" i="1" s="1"/>
  <c r="L127" i="1"/>
  <c r="L112" i="1"/>
  <c r="O40" i="1"/>
  <c r="K128" i="1" l="1"/>
  <c r="K122" i="1"/>
  <c r="L118" i="1" l="1"/>
  <c r="K129" i="1"/>
  <c r="L125" i="1" s="1"/>
  <c r="L119" i="1" l="1"/>
  <c r="L126" i="1" s="1"/>
  <c r="L66" i="1" s="1"/>
  <c r="L68" i="1" s="1"/>
  <c r="L71" i="1" l="1"/>
  <c r="L74" i="1" s="1"/>
  <c r="L69" i="1"/>
  <c r="L89" i="1" l="1"/>
  <c r="L93" i="1" s="1"/>
  <c r="L98" i="1" s="1"/>
  <c r="L100" i="1" s="1"/>
  <c r="L101" i="1" s="1"/>
  <c r="L75" i="1"/>
  <c r="L107" i="1" l="1"/>
  <c r="L108" i="1" s="1"/>
  <c r="M104" i="1" s="1"/>
  <c r="M105" i="1" s="1"/>
  <c r="L114" i="1" l="1"/>
  <c r="L115" i="1" s="1"/>
  <c r="M111" i="1" s="1"/>
  <c r="M112" i="1" s="1"/>
  <c r="M127" i="1" l="1"/>
  <c r="L121" i="1"/>
  <c r="L128" i="1" s="1"/>
  <c r="L122" i="1" l="1"/>
  <c r="L129" i="1" s="1"/>
  <c r="M125" i="1" s="1"/>
  <c r="M118" i="1" l="1"/>
  <c r="M119" i="1" s="1"/>
  <c r="M126" i="1" s="1"/>
  <c r="M66" i="1" s="1"/>
  <c r="M68" i="1" s="1"/>
  <c r="M69" i="1" s="1"/>
  <c r="M71" i="1" l="1"/>
  <c r="M74" i="1" s="1"/>
  <c r="M75" i="1" s="1"/>
  <c r="M89" i="1" l="1"/>
  <c r="M93" i="1" s="1"/>
  <c r="M98" i="1" s="1"/>
  <c r="M100" i="1" s="1"/>
  <c r="M101" i="1" s="1"/>
  <c r="M107" i="1" s="1"/>
  <c r="M108" i="1" s="1"/>
  <c r="N104" i="1" s="1"/>
  <c r="N105" i="1" s="1"/>
  <c r="M114" i="1" l="1"/>
  <c r="M115" i="1" s="1"/>
  <c r="N111" i="1" s="1"/>
  <c r="N127" i="1" l="1"/>
  <c r="N112" i="1"/>
  <c r="M121" i="1"/>
  <c r="M122" i="1" l="1"/>
  <c r="M128" i="1"/>
  <c r="M129" i="1" l="1"/>
  <c r="N125" i="1" s="1"/>
  <c r="N118" i="1"/>
  <c r="N119" i="1" l="1"/>
  <c r="N126" i="1" s="1"/>
  <c r="N66" i="1" s="1"/>
  <c r="N68" i="1" s="1"/>
  <c r="N71" i="1" l="1"/>
  <c r="N74" i="1" s="1"/>
  <c r="N69" i="1"/>
  <c r="N75" i="1" l="1"/>
  <c r="N89" i="1"/>
  <c r="N93" i="1" s="1"/>
  <c r="N98" i="1" s="1"/>
  <c r="N100" i="1" s="1"/>
  <c r="N101" i="1" s="1"/>
  <c r="N107" i="1" l="1"/>
  <c r="N108" i="1" s="1"/>
  <c r="O104" i="1" s="1"/>
  <c r="O105" i="1" s="1"/>
  <c r="N114" i="1" l="1"/>
  <c r="N115" i="1" l="1"/>
  <c r="O111" i="1" s="1"/>
  <c r="N121" i="1"/>
  <c r="N128" i="1" l="1"/>
  <c r="N122" i="1"/>
  <c r="O112" i="1"/>
  <c r="O127" i="1"/>
  <c r="N129" i="1" l="1"/>
  <c r="O125" i="1" s="1"/>
  <c r="O118" i="1"/>
  <c r="O119" i="1" l="1"/>
  <c r="O126" i="1" s="1"/>
  <c r="O66" i="1" s="1"/>
  <c r="O68" i="1" s="1"/>
  <c r="O71" i="1" l="1"/>
  <c r="O74" i="1" s="1"/>
  <c r="O69" i="1"/>
  <c r="O75" i="1" l="1"/>
  <c r="O89" i="1"/>
  <c r="O93" i="1" s="1"/>
  <c r="O98" i="1" s="1"/>
  <c r="O100" i="1" s="1"/>
  <c r="O101" i="1" s="1"/>
  <c r="G33" i="1"/>
  <c r="G34" i="1"/>
  <c r="G35" i="1"/>
  <c r="E38" i="1"/>
  <c r="G38" i="1" l="1"/>
  <c r="O139" i="1"/>
  <c r="O107" i="1"/>
  <c r="O108" i="1" s="1"/>
  <c r="G36" i="1"/>
  <c r="F38" i="1"/>
  <c r="F40" i="1" s="1"/>
  <c r="G40" i="1" l="1"/>
  <c r="O114" i="1"/>
  <c r="O115" i="1" s="1"/>
  <c r="O121" i="1" l="1"/>
  <c r="O128" i="1" s="1"/>
  <c r="O122" i="1" l="1"/>
  <c r="O129" i="1" s="1"/>
  <c r="O136" i="1" l="1"/>
  <c r="O137" i="1" s="1"/>
  <c r="O141" i="1" s="1"/>
  <c r="I17" i="1" l="1"/>
  <c r="O142" i="1"/>
  <c r="I18" i="1" l="1"/>
  <c r="C148" i="1" s="1"/>
</calcChain>
</file>

<file path=xl/sharedStrings.xml><?xml version="1.0" encoding="utf-8"?>
<sst xmlns="http://schemas.openxmlformats.org/spreadsheetml/2006/main" count="162" uniqueCount="95">
  <si>
    <t>x</t>
  </si>
  <si>
    <t>Assumptions</t>
  </si>
  <si>
    <t>Financials</t>
  </si>
  <si>
    <t>LTM</t>
  </si>
  <si>
    <t>Revenue</t>
  </si>
  <si>
    <t>COGS</t>
  </si>
  <si>
    <t>Selling Expenses</t>
  </si>
  <si>
    <t>Administrative Expenses</t>
  </si>
  <si>
    <t>Other Operating Expenses</t>
  </si>
  <si>
    <t>D&amp;A</t>
  </si>
  <si>
    <t>Interest Expense</t>
  </si>
  <si>
    <t>Cash</t>
  </si>
  <si>
    <t>Existing Debt</t>
  </si>
  <si>
    <t>Net Working Capital</t>
  </si>
  <si>
    <t>Capital Expenditure</t>
  </si>
  <si>
    <r>
      <t xml:space="preserve">Financials </t>
    </r>
    <r>
      <rPr>
        <b/>
        <sz val="8"/>
        <color theme="1"/>
        <rFont val="Aptos Narrow"/>
        <family val="2"/>
      </rPr>
      <t>(USD millions)</t>
    </r>
  </si>
  <si>
    <t>Entry</t>
  </si>
  <si>
    <t>LTM EBITDA</t>
  </si>
  <si>
    <t>Entry Multiple</t>
  </si>
  <si>
    <t>Enterprise Value</t>
  </si>
  <si>
    <t>Exisiting Net Debt</t>
  </si>
  <si>
    <t>Equity Value</t>
  </si>
  <si>
    <t>Fees &amp; Expenses</t>
  </si>
  <si>
    <t>Capital Structure</t>
  </si>
  <si>
    <t>Revolving Credit Facility</t>
  </si>
  <si>
    <t>Term Loan B</t>
  </si>
  <si>
    <t>Senior Notes</t>
  </si>
  <si>
    <t>Amount</t>
  </si>
  <si>
    <t>Interest</t>
  </si>
  <si>
    <t>Mandatory Amortisation</t>
  </si>
  <si>
    <t>Mandatory Amort.</t>
  </si>
  <si>
    <t>Exit Multiple</t>
  </si>
  <si>
    <t>IRR (For Reference)</t>
  </si>
  <si>
    <t>MOIC</t>
  </si>
  <si>
    <t>IRR</t>
  </si>
  <si>
    <t>Operating Assumptions</t>
  </si>
  <si>
    <t>Revenue Growth</t>
  </si>
  <si>
    <t>Transaction Assumptions</t>
  </si>
  <si>
    <t>Purchase Price</t>
  </si>
  <si>
    <t>Transaction Fees</t>
  </si>
  <si>
    <t>Minimum Cash Remaining</t>
  </si>
  <si>
    <t>Holding Period</t>
  </si>
  <si>
    <t>Margins</t>
  </si>
  <si>
    <t>All flat</t>
  </si>
  <si>
    <t>Working Capital</t>
  </si>
  <si>
    <t>CapEx</t>
  </si>
  <si>
    <t>Depreciation</t>
  </si>
  <si>
    <t>Sources &amp; Uses</t>
  </si>
  <si>
    <t>Sources</t>
  </si>
  <si>
    <t>Uses</t>
  </si>
  <si>
    <t>-</t>
  </si>
  <si>
    <t>Bullet Repayment</t>
  </si>
  <si>
    <t>xEBITDA</t>
  </si>
  <si>
    <t>% Capital</t>
  </si>
  <si>
    <t>Total</t>
  </si>
  <si>
    <t>Sponsor Equity</t>
  </si>
  <si>
    <t>Total Sources</t>
  </si>
  <si>
    <t>Debt Refinancing</t>
  </si>
  <si>
    <t>Equity Payment</t>
  </si>
  <si>
    <t>Total Uses</t>
  </si>
  <si>
    <t>Income Statement</t>
  </si>
  <si>
    <t xml:space="preserve">Revenue </t>
  </si>
  <si>
    <t>% growth</t>
  </si>
  <si>
    <t xml:space="preserve">COGS </t>
  </si>
  <si>
    <t>% sales</t>
  </si>
  <si>
    <t>Gross Profit</t>
  </si>
  <si>
    <t>OpEx</t>
  </si>
  <si>
    <t>EBIT</t>
  </si>
  <si>
    <t>EBITDA</t>
  </si>
  <si>
    <t>EBT</t>
  </si>
  <si>
    <t>Taxes</t>
  </si>
  <si>
    <t>% tax rate</t>
  </si>
  <si>
    <t>Net Income</t>
  </si>
  <si>
    <t>Corporate Tax Rate</t>
  </si>
  <si>
    <t>Cash Flow Items</t>
  </si>
  <si>
    <t>Change in Net Working Capital</t>
  </si>
  <si>
    <t>Levered Free Cash Flow</t>
  </si>
  <si>
    <t>Change in NWC</t>
  </si>
  <si>
    <t>Debt Schedule</t>
  </si>
  <si>
    <t>Beginning Balance</t>
  </si>
  <si>
    <t xml:space="preserve">Ending Balance </t>
  </si>
  <si>
    <t>Cash Available for Debt Paydown</t>
  </si>
  <si>
    <t>Debt Paydown</t>
  </si>
  <si>
    <t>Minimum Cash</t>
  </si>
  <si>
    <t>Optional Debt Paydown</t>
  </si>
  <si>
    <t>Total Debt</t>
  </si>
  <si>
    <t>Ending Balance</t>
  </si>
  <si>
    <t>Cash Available for Optional Paydown (after paying TLB's mandatory  amortisation)</t>
  </si>
  <si>
    <t>LTM EBITDA at Exit</t>
  </si>
  <si>
    <t>Remaining Net Debt</t>
  </si>
  <si>
    <t>Sponsor Equity Value</t>
  </si>
  <si>
    <t>Sponsor Equity at Entry</t>
  </si>
  <si>
    <t>(all figures in $M)</t>
  </si>
  <si>
    <t>Sensitivity Analysis</t>
  </si>
  <si>
    <t>Paper LBO - Hypothetical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</si>
</sst>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;@"/>
    <numFmt numFmtId="165" formatCode="&quot;Year&quot;\ 0"/>
    <numFmt numFmtId="166" formatCode="0.0%"/>
    <numFmt numFmtId="167" formatCode="0.00\x"/>
    <numFmt numFmtId="168" formatCode="0.0\x"/>
  </numFmts>
  <fonts count="21" x14ac:knownFonts="1">
    <font>
      <sz val="12"/>
      <color theme="1"/>
      <name val="Aptos Narrow"/>
      <family val="2"/>
      <charset val="238"/>
    </font>
    <font>
      <sz val="12"/>
      <color theme="1"/>
      <name val="Aptos Narrow"/>
      <family val="2"/>
      <charset val="238"/>
    </font>
    <font>
      <b/>
      <sz val="16"/>
      <color theme="1"/>
      <name val="Aptos Narrow"/>
      <family val="2"/>
    </font>
    <font>
      <sz val="11"/>
      <color theme="3" tint="0.249977111117893"/>
      <name val="Aptos Narrow"/>
      <family val="2"/>
    </font>
    <font>
      <b/>
      <sz val="11"/>
      <color theme="1"/>
      <name val="Aptos Narrow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8"/>
      <color theme="1"/>
      <name val="Aptos Narrow"/>
      <family val="2"/>
    </font>
    <font>
      <b/>
      <u/>
      <sz val="11"/>
      <color theme="1"/>
      <name val="Aptos Narrow"/>
      <family val="2"/>
    </font>
    <font>
      <i/>
      <sz val="11"/>
      <color theme="1"/>
      <name val="Aptos Narrow"/>
      <family val="2"/>
    </font>
    <font>
      <i/>
      <sz val="11"/>
      <color theme="3" tint="0.249977111117893"/>
      <name val="Aptos Narrow"/>
      <family val="2"/>
    </font>
    <font>
      <sz val="11"/>
      <color rgb="FF7030A0"/>
      <name val="Aptos Narrow"/>
      <family val="2"/>
    </font>
    <font>
      <sz val="8"/>
      <color theme="3" tint="0.249977111117893"/>
      <name val="Aptos Narrow"/>
      <family val="2"/>
    </font>
    <font>
      <sz val="11"/>
      <name val="Aptos Narrow"/>
      <family val="2"/>
    </font>
    <font>
      <i/>
      <sz val="11"/>
      <color rgb="FF7030A0"/>
      <name val="Aptos Narrow"/>
      <family val="2"/>
    </font>
    <font>
      <b/>
      <sz val="11"/>
      <name val="Aptos Narrow"/>
      <family val="2"/>
    </font>
    <font>
      <b/>
      <sz val="11"/>
      <color rgb="FF7030A0"/>
      <name val="Aptos Narrow"/>
      <family val="2"/>
    </font>
    <font>
      <i/>
      <sz val="11"/>
      <name val="Aptos Narrow"/>
      <family val="2"/>
    </font>
    <font>
      <sz val="11"/>
      <color theme="0"/>
      <name val="Aptos Narrow"/>
      <family val="2"/>
    </font>
    <font>
      <sz val="11"/>
      <color theme="0" tint="-0.1499984740745262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6F5D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3" fillId="0" borderId="0" xfId="0" applyNumberFormat="1" applyFont="1" applyAlignment="1">
      <alignment horizontal="right"/>
    </xf>
    <xf numFmtId="0" fontId="6" fillId="0" borderId="0" xfId="0" applyFont="1"/>
    <xf numFmtId="0" fontId="7" fillId="2" borderId="0" xfId="0" applyFont="1" applyFill="1"/>
    <xf numFmtId="0" fontId="4" fillId="3" borderId="0" xfId="0" applyFont="1" applyFill="1"/>
    <xf numFmtId="0" fontId="6" fillId="3" borderId="0" xfId="0" applyFont="1" applyFill="1"/>
    <xf numFmtId="0" fontId="9" fillId="0" borderId="0" xfId="0" applyFont="1"/>
    <xf numFmtId="164" fontId="3" fillId="4" borderId="2" xfId="0" applyNumberFormat="1" applyFont="1" applyFill="1" applyBorder="1"/>
    <xf numFmtId="0" fontId="6" fillId="0" borderId="1" xfId="0" applyFont="1" applyBorder="1"/>
    <xf numFmtId="0" fontId="4" fillId="0" borderId="0" xfId="0" applyFont="1"/>
    <xf numFmtId="164" fontId="3" fillId="0" borderId="0" xfId="0" applyNumberFormat="1" applyFont="1"/>
    <xf numFmtId="0" fontId="6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0" fontId="8" fillId="3" borderId="0" xfId="0" applyFont="1" applyFill="1" applyAlignment="1">
      <alignment horizontal="right" vertical="center"/>
    </xf>
    <xf numFmtId="165" fontId="4" fillId="3" borderId="0" xfId="0" applyNumberFormat="1" applyFont="1" applyFill="1"/>
    <xf numFmtId="164" fontId="3" fillId="3" borderId="0" xfId="0" applyNumberFormat="1" applyFont="1" applyFill="1"/>
    <xf numFmtId="164" fontId="6" fillId="0" borderId="0" xfId="0" applyNumberFormat="1" applyFont="1"/>
    <xf numFmtId="0" fontId="10" fillId="0" borderId="0" xfId="0" applyFont="1" applyAlignment="1">
      <alignment horizontal="right"/>
    </xf>
    <xf numFmtId="166" fontId="6" fillId="0" borderId="0" xfId="1" applyNumberFormat="1" applyFont="1"/>
    <xf numFmtId="165" fontId="4" fillId="0" borderId="0" xfId="0" applyNumberFormat="1" applyFont="1"/>
    <xf numFmtId="166" fontId="10" fillId="0" borderId="0" xfId="1" applyNumberFormat="1" applyFont="1" applyFill="1"/>
    <xf numFmtId="166" fontId="11" fillId="0" borderId="0" xfId="1" applyNumberFormat="1" applyFont="1"/>
    <xf numFmtId="0" fontId="11" fillId="0" borderId="0" xfId="0" applyFont="1" applyAlignment="1">
      <alignment horizontal="right"/>
    </xf>
    <xf numFmtId="164" fontId="12" fillId="4" borderId="2" xfId="0" applyNumberFormat="1" applyFont="1" applyFill="1" applyBorder="1"/>
    <xf numFmtId="10" fontId="3" fillId="4" borderId="2" xfId="1" applyNumberFormat="1" applyFont="1" applyFill="1" applyBorder="1"/>
    <xf numFmtId="10" fontId="3" fillId="4" borderId="2" xfId="1" applyNumberFormat="1" applyFont="1" applyFill="1" applyBorder="1" applyAlignment="1">
      <alignment horizontal="right"/>
    </xf>
    <xf numFmtId="10" fontId="13" fillId="4" borderId="2" xfId="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164" fontId="12" fillId="0" borderId="0" xfId="0" applyNumberFormat="1" applyFont="1"/>
    <xf numFmtId="0" fontId="6" fillId="0" borderId="4" xfId="0" applyFont="1" applyBorder="1"/>
    <xf numFmtId="0" fontId="4" fillId="0" borderId="4" xfId="0" applyFont="1" applyBorder="1"/>
    <xf numFmtId="0" fontId="4" fillId="5" borderId="5" xfId="0" applyFont="1" applyFill="1" applyBorder="1"/>
    <xf numFmtId="0" fontId="4" fillId="5" borderId="6" xfId="0" applyFont="1" applyFill="1" applyBorder="1"/>
    <xf numFmtId="164" fontId="14" fillId="4" borderId="3" xfId="0" applyNumberFormat="1" applyFont="1" applyFill="1" applyBorder="1"/>
    <xf numFmtId="0" fontId="4" fillId="3" borderId="8" xfId="0" applyFont="1" applyFill="1" applyBorder="1"/>
    <xf numFmtId="0" fontId="6" fillId="3" borderId="4" xfId="0" applyFont="1" applyFill="1" applyBorder="1"/>
    <xf numFmtId="0" fontId="6" fillId="3" borderId="9" xfId="0" applyFont="1" applyFill="1" applyBorder="1"/>
    <xf numFmtId="0" fontId="6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164" fontId="14" fillId="0" borderId="0" xfId="0" applyNumberFormat="1" applyFont="1"/>
    <xf numFmtId="167" fontId="12" fillId="4" borderId="3" xfId="0" applyNumberFormat="1" applyFont="1" applyFill="1" applyBorder="1"/>
    <xf numFmtId="164" fontId="4" fillId="0" borderId="0" xfId="0" applyNumberFormat="1" applyFont="1"/>
    <xf numFmtId="166" fontId="15" fillId="0" borderId="0" xfId="0" applyNumberFormat="1" applyFont="1"/>
    <xf numFmtId="9" fontId="10" fillId="0" borderId="0" xfId="1" applyFont="1" applyAlignment="1">
      <alignment horizontal="right"/>
    </xf>
    <xf numFmtId="9" fontId="15" fillId="0" borderId="0" xfId="1" applyFont="1" applyAlignment="1">
      <alignment horizontal="right"/>
    </xf>
    <xf numFmtId="167" fontId="14" fillId="0" borderId="0" xfId="0" applyNumberFormat="1" applyFont="1"/>
    <xf numFmtId="164" fontId="4" fillId="5" borderId="6" xfId="0" applyNumberFormat="1" applyFont="1" applyFill="1" applyBorder="1"/>
    <xf numFmtId="164" fontId="4" fillId="0" borderId="4" xfId="0" applyNumberFormat="1" applyFont="1" applyBorder="1"/>
    <xf numFmtId="167" fontId="16" fillId="0" borderId="4" xfId="0" applyNumberFormat="1" applyFont="1" applyBorder="1"/>
    <xf numFmtId="166" fontId="4" fillId="0" borderId="4" xfId="0" applyNumberFormat="1" applyFont="1" applyBorder="1"/>
    <xf numFmtId="164" fontId="17" fillId="5" borderId="6" xfId="0" applyNumberFormat="1" applyFont="1" applyFill="1" applyBorder="1"/>
    <xf numFmtId="166" fontId="4" fillId="5" borderId="7" xfId="0" applyNumberFormat="1" applyFont="1" applyFill="1" applyBorder="1"/>
    <xf numFmtId="167" fontId="4" fillId="5" borderId="6" xfId="0" applyNumberFormat="1" applyFont="1" applyFill="1" applyBorder="1"/>
    <xf numFmtId="9" fontId="18" fillId="0" borderId="0" xfId="1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0" fontId="4" fillId="5" borderId="6" xfId="0" applyFont="1" applyFill="1" applyBorder="1" applyAlignment="1">
      <alignment horizontal="right"/>
    </xf>
    <xf numFmtId="164" fontId="4" fillId="5" borderId="7" xfId="0" applyNumberFormat="1" applyFont="1" applyFill="1" applyBorder="1"/>
    <xf numFmtId="0" fontId="6" fillId="0" borderId="1" xfId="0" applyFont="1" applyBorder="1" applyAlignment="1">
      <alignment horizontal="left" indent="1"/>
    </xf>
    <xf numFmtId="10" fontId="4" fillId="0" borderId="4" xfId="0" applyNumberFormat="1" applyFont="1" applyBorder="1" applyAlignment="1">
      <alignment horizontal="left" indent="1"/>
    </xf>
    <xf numFmtId="10" fontId="6" fillId="0" borderId="4" xfId="0" applyNumberFormat="1" applyFont="1" applyBorder="1"/>
    <xf numFmtId="164" fontId="6" fillId="0" borderId="1" xfId="0" applyNumberFormat="1" applyFont="1" applyBorder="1"/>
    <xf numFmtId="164" fontId="14" fillId="0" borderId="1" xfId="0" applyNumberFormat="1" applyFont="1" applyBorder="1"/>
    <xf numFmtId="0" fontId="16" fillId="0" borderId="0" xfId="0" applyFont="1"/>
    <xf numFmtId="164" fontId="16" fillId="0" borderId="0" xfId="0" applyNumberFormat="1" applyFont="1" applyAlignment="1">
      <alignment horizontal="right"/>
    </xf>
    <xf numFmtId="164" fontId="16" fillId="0" borderId="0" xfId="0" applyNumberFormat="1" applyFont="1"/>
    <xf numFmtId="0" fontId="16" fillId="0" borderId="1" xfId="0" applyFont="1" applyBorder="1"/>
    <xf numFmtId="164" fontId="17" fillId="0" borderId="1" xfId="0" applyNumberFormat="1" applyFont="1" applyBorder="1"/>
    <xf numFmtId="164" fontId="17" fillId="0" borderId="0" xfId="0" applyNumberFormat="1" applyFont="1"/>
    <xf numFmtId="10" fontId="4" fillId="0" borderId="0" xfId="0" applyNumberFormat="1" applyFont="1" applyAlignment="1">
      <alignment horizontal="left" indent="1"/>
    </xf>
    <xf numFmtId="0" fontId="16" fillId="0" borderId="0" xfId="0" applyFont="1" applyAlignment="1">
      <alignment horizontal="left"/>
    </xf>
    <xf numFmtId="0" fontId="4" fillId="0" borderId="12" xfId="0" applyFont="1" applyBorder="1"/>
    <xf numFmtId="0" fontId="4" fillId="5" borderId="8" xfId="0" applyFont="1" applyFill="1" applyBorder="1"/>
    <xf numFmtId="0" fontId="6" fillId="5" borderId="4" xfId="0" applyFont="1" applyFill="1" applyBorder="1"/>
    <xf numFmtId="0" fontId="4" fillId="5" borderId="12" xfId="0" applyFont="1" applyFill="1" applyBorder="1"/>
    <xf numFmtId="0" fontId="6" fillId="5" borderId="1" xfId="0" applyFont="1" applyFill="1" applyBorder="1"/>
    <xf numFmtId="167" fontId="12" fillId="0" borderId="1" xfId="0" applyNumberFormat="1" applyFont="1" applyBorder="1"/>
    <xf numFmtId="166" fontId="15" fillId="0" borderId="0" xfId="1" applyNumberFormat="1" applyFont="1" applyAlignment="1">
      <alignment horizontal="right"/>
    </xf>
    <xf numFmtId="0" fontId="2" fillId="0" borderId="0" xfId="0" applyFont="1"/>
    <xf numFmtId="0" fontId="5" fillId="0" borderId="0" xfId="0" applyFont="1"/>
    <xf numFmtId="167" fontId="4" fillId="5" borderId="9" xfId="0" applyNumberFormat="1" applyFont="1" applyFill="1" applyBorder="1"/>
    <xf numFmtId="9" fontId="4" fillId="5" borderId="13" xfId="1" applyFont="1" applyFill="1" applyBorder="1"/>
    <xf numFmtId="0" fontId="4" fillId="0" borderId="10" xfId="0" applyFont="1" applyBorder="1"/>
    <xf numFmtId="167" fontId="4" fillId="0" borderId="11" xfId="0" applyNumberFormat="1" applyFont="1" applyBorder="1"/>
    <xf numFmtId="9" fontId="4" fillId="0" borderId="13" xfId="1" applyFont="1" applyBorder="1"/>
    <xf numFmtId="0" fontId="19" fillId="2" borderId="0" xfId="0" applyFont="1" applyFill="1"/>
    <xf numFmtId="168" fontId="6" fillId="0" borderId="0" xfId="0" applyNumberFormat="1" applyFont="1"/>
    <xf numFmtId="9" fontId="6" fillId="6" borderId="8" xfId="0" applyNumberFormat="1" applyFont="1" applyFill="1" applyBorder="1"/>
    <xf numFmtId="0" fontId="6" fillId="6" borderId="4" xfId="0" applyFont="1" applyFill="1" applyBorder="1"/>
    <xf numFmtId="0" fontId="6" fillId="6" borderId="9" xfId="0" applyFont="1" applyFill="1" applyBorder="1"/>
    <xf numFmtId="0" fontId="6" fillId="6" borderId="10" xfId="0" applyFont="1" applyFill="1" applyBorder="1"/>
    <xf numFmtId="0" fontId="6" fillId="6" borderId="0" xfId="0" applyFont="1" applyFill="1"/>
    <xf numFmtId="0" fontId="6" fillId="6" borderId="11" xfId="0" applyFont="1" applyFill="1" applyBorder="1"/>
    <xf numFmtId="168" fontId="6" fillId="6" borderId="0" xfId="0" applyNumberFormat="1" applyFont="1" applyFill="1" applyAlignment="1">
      <alignment horizontal="center"/>
    </xf>
    <xf numFmtId="168" fontId="6" fillId="6" borderId="1" xfId="0" applyNumberFormat="1" applyFont="1" applyFill="1" applyBorder="1" applyAlignment="1">
      <alignment horizontal="center"/>
    </xf>
    <xf numFmtId="0" fontId="4" fillId="6" borderId="4" xfId="0" applyFont="1" applyFill="1" applyBorder="1"/>
    <xf numFmtId="168" fontId="6" fillId="6" borderId="0" xfId="0" applyNumberFormat="1" applyFont="1" applyFill="1" applyAlignment="1">
      <alignment horizontal="center" vertical="center"/>
    </xf>
    <xf numFmtId="168" fontId="6" fillId="6" borderId="11" xfId="0" applyNumberFormat="1" applyFont="1" applyFill="1" applyBorder="1" applyAlignment="1">
      <alignment horizontal="center" vertical="center"/>
    </xf>
    <xf numFmtId="9" fontId="20" fillId="6" borderId="0" xfId="0" applyNumberFormat="1" applyFont="1" applyFill="1" applyAlignment="1">
      <alignment horizontal="center" vertical="center"/>
    </xf>
    <xf numFmtId="166" fontId="6" fillId="0" borderId="8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/>
    </xf>
    <xf numFmtId="166" fontId="6" fillId="0" borderId="9" xfId="1" applyNumberFormat="1" applyFont="1" applyBorder="1" applyAlignment="1">
      <alignment horizontal="center"/>
    </xf>
    <xf numFmtId="166" fontId="6" fillId="0" borderId="10" xfId="1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/>
    </xf>
    <xf numFmtId="166" fontId="6" fillId="0" borderId="11" xfId="1" applyNumberFormat="1" applyFont="1" applyBorder="1" applyAlignment="1">
      <alignment horizontal="center"/>
    </xf>
    <xf numFmtId="166" fontId="6" fillId="0" borderId="12" xfId="1" applyNumberFormat="1" applyFont="1" applyBorder="1" applyAlignment="1">
      <alignment horizontal="center"/>
    </xf>
    <xf numFmtId="166" fontId="6" fillId="0" borderId="1" xfId="1" applyNumberFormat="1" applyFont="1" applyBorder="1" applyAlignment="1">
      <alignment horizontal="center"/>
    </xf>
    <xf numFmtId="166" fontId="6" fillId="0" borderId="13" xfId="1" applyNumberFormat="1" applyFont="1" applyBorder="1" applyAlignment="1">
      <alignment horizontal="center"/>
    </xf>
    <xf numFmtId="168" fontId="3" fillId="4" borderId="2" xfId="0" applyNumberFormat="1" applyFont="1" applyFill="1" applyBorder="1"/>
    <xf numFmtId="166" fontId="6" fillId="0" borderId="4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center"/>
    </xf>
    <xf numFmtId="166" fontId="6" fillId="0" borderId="1" xfId="1" applyNumberFormat="1" applyFont="1" applyFill="1" applyBorder="1" applyAlignment="1">
      <alignment horizontal="center"/>
    </xf>
    <xf numFmtId="166" fontId="6" fillId="0" borderId="10" xfId="1" applyNumberFormat="1" applyFont="1" applyFill="1" applyBorder="1" applyAlignment="1">
      <alignment horizontal="center"/>
    </xf>
    <xf numFmtId="166" fontId="6" fillId="0" borderId="11" xfId="1" applyNumberFormat="1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 vertical="center" textRotation="90"/>
    </xf>
    <xf numFmtId="0" fontId="4" fillId="6" borderId="12" xfId="0" applyFont="1" applyFill="1" applyBorder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ED9919-AA1C-47EC-860F-77B0D8EDED1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cfff645-b070-46b6-bdab-1ba640ee70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DC49-947B-42D2-BB91-73696AEB77F0}">
  <dimension ref="A1:P153"/>
  <sheetViews>
    <sheetView showGridLines="0" tabSelected="1" zoomScale="90" zoomScaleNormal="90" workbookViewId="0"/>
  </sheetViews>
  <sheetFormatPr defaultColWidth="10.625" defaultRowHeight="15" x14ac:dyDescent="0.25"/>
  <cols>
    <col min="1" max="1" width="3.625" style="4" customWidth="1"/>
    <col min="2" max="5" width="10.625" style="4"/>
    <col min="6" max="6" width="10.625" style="4" customWidth="1"/>
    <col min="7" max="13" width="10.625" style="4"/>
    <col min="14" max="14" width="10.625" style="4" customWidth="1"/>
    <col min="15" max="15" width="12.625" style="4" customWidth="1"/>
    <col min="16" max="16384" width="10.625" style="4"/>
  </cols>
  <sheetData>
    <row r="1" spans="1:16" customFormat="1" ht="15.75" x14ac:dyDescent="0.25"/>
    <row r="2" spans="1:16" s="1" customFormat="1" ht="21" x14ac:dyDescent="0.35">
      <c r="B2" s="2" t="s">
        <v>94</v>
      </c>
    </row>
    <row r="3" spans="1:16" customFormat="1" ht="15" customHeight="1" x14ac:dyDescent="0.35">
      <c r="B3" s="80"/>
    </row>
    <row r="4" spans="1:16" x14ac:dyDescent="0.25">
      <c r="B4" s="81" t="s">
        <v>92</v>
      </c>
    </row>
    <row r="5" spans="1:16" x14ac:dyDescent="0.25">
      <c r="A5" s="4" t="s">
        <v>0</v>
      </c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ht="5.0999999999999996" customHeight="1" x14ac:dyDescent="0.25"/>
    <row r="7" spans="1:16" x14ac:dyDescent="0.25">
      <c r="B7" s="6" t="s">
        <v>15</v>
      </c>
      <c r="C7" s="7"/>
      <c r="D7" s="7"/>
      <c r="E7" s="7"/>
      <c r="G7" s="6" t="s">
        <v>16</v>
      </c>
      <c r="H7" s="6"/>
      <c r="I7" s="6"/>
      <c r="K7" s="6" t="s">
        <v>23</v>
      </c>
      <c r="L7" s="6"/>
      <c r="M7" s="6" t="s">
        <v>27</v>
      </c>
      <c r="N7" s="14" t="s">
        <v>28</v>
      </c>
      <c r="O7" s="15" t="s">
        <v>30</v>
      </c>
      <c r="P7" s="13"/>
    </row>
    <row r="8" spans="1:16" x14ac:dyDescent="0.25">
      <c r="B8" s="8" t="s">
        <v>3</v>
      </c>
      <c r="E8" s="3"/>
      <c r="G8" s="4" t="s">
        <v>17</v>
      </c>
      <c r="I8" s="18">
        <f>J63</f>
        <v>505</v>
      </c>
      <c r="K8" s="4" t="s">
        <v>24</v>
      </c>
      <c r="M8" s="9">
        <v>150</v>
      </c>
      <c r="N8" s="26">
        <v>6.25E-2</v>
      </c>
      <c r="O8" s="27" t="s">
        <v>50</v>
      </c>
    </row>
    <row r="9" spans="1:16" x14ac:dyDescent="0.25">
      <c r="B9" s="4" t="s">
        <v>4</v>
      </c>
      <c r="E9" s="9">
        <v>2850</v>
      </c>
      <c r="G9" s="10" t="s">
        <v>18</v>
      </c>
      <c r="H9" s="10"/>
      <c r="I9" s="42">
        <f>E23</f>
        <v>7.5</v>
      </c>
      <c r="K9" s="4" t="s">
        <v>25</v>
      </c>
      <c r="M9" s="9">
        <v>1900</v>
      </c>
      <c r="N9" s="26">
        <v>7.0000000000000007E-2</v>
      </c>
      <c r="O9" s="26">
        <v>0.01</v>
      </c>
    </row>
    <row r="10" spans="1:16" x14ac:dyDescent="0.25">
      <c r="B10" s="4" t="s">
        <v>5</v>
      </c>
      <c r="E10" s="9">
        <v>1760</v>
      </c>
      <c r="G10" s="11" t="s">
        <v>19</v>
      </c>
      <c r="I10" s="11">
        <f>I8*I9</f>
        <v>3787.5</v>
      </c>
      <c r="K10" s="4" t="s">
        <v>26</v>
      </c>
      <c r="M10" s="9">
        <v>350</v>
      </c>
      <c r="N10" s="26">
        <v>8.7499999999999994E-2</v>
      </c>
      <c r="O10" s="28" t="s">
        <v>51</v>
      </c>
    </row>
    <row r="11" spans="1:16" x14ac:dyDescent="0.25">
      <c r="B11" s="4" t="s">
        <v>6</v>
      </c>
      <c r="E11" s="9">
        <v>295</v>
      </c>
      <c r="G11" s="10" t="s">
        <v>20</v>
      </c>
      <c r="H11" s="10"/>
      <c r="I11" s="35">
        <f>E17-E16</f>
        <v>1065</v>
      </c>
    </row>
    <row r="12" spans="1:16" x14ac:dyDescent="0.25">
      <c r="B12" s="4" t="s">
        <v>7</v>
      </c>
      <c r="E12" s="9">
        <v>205</v>
      </c>
      <c r="G12" s="11" t="s">
        <v>21</v>
      </c>
      <c r="I12" s="43">
        <f>I10-I11</f>
        <v>2722.5</v>
      </c>
      <c r="K12" s="11"/>
    </row>
    <row r="13" spans="1:16" x14ac:dyDescent="0.25">
      <c r="B13" s="4" t="s">
        <v>8</v>
      </c>
      <c r="E13" s="9">
        <v>85</v>
      </c>
    </row>
    <row r="14" spans="1:16" x14ac:dyDescent="0.25">
      <c r="B14" s="4" t="s">
        <v>9</v>
      </c>
      <c r="E14" s="9">
        <v>145</v>
      </c>
      <c r="G14" s="4" t="s">
        <v>22</v>
      </c>
      <c r="I14" s="25">
        <f>E24</f>
        <v>95</v>
      </c>
    </row>
    <row r="15" spans="1:16" x14ac:dyDescent="0.25">
      <c r="B15" s="4" t="s">
        <v>10</v>
      </c>
      <c r="E15" s="9">
        <v>72</v>
      </c>
    </row>
    <row r="16" spans="1:16" x14ac:dyDescent="0.25">
      <c r="B16" s="4" t="s">
        <v>11</v>
      </c>
      <c r="E16" s="9">
        <v>185</v>
      </c>
      <c r="G16" s="36" t="s">
        <v>32</v>
      </c>
      <c r="H16" s="37"/>
      <c r="I16" s="38"/>
    </row>
    <row r="17" spans="1:15" x14ac:dyDescent="0.25">
      <c r="B17" s="4" t="s">
        <v>12</v>
      </c>
      <c r="E17" s="9">
        <v>1250</v>
      </c>
      <c r="G17" s="84" t="s">
        <v>33</v>
      </c>
      <c r="I17" s="85">
        <f>O141</f>
        <v>2.3584901806993295</v>
      </c>
    </row>
    <row r="18" spans="1:15" x14ac:dyDescent="0.25">
      <c r="B18" s="4" t="s">
        <v>13</v>
      </c>
      <c r="E18" s="9">
        <v>160</v>
      </c>
      <c r="G18" s="73" t="s">
        <v>34</v>
      </c>
      <c r="H18" s="10"/>
      <c r="I18" s="86">
        <f>O142</f>
        <v>0.18720800014316175</v>
      </c>
    </row>
    <row r="19" spans="1:15" x14ac:dyDescent="0.25">
      <c r="B19" s="4" t="s">
        <v>14</v>
      </c>
      <c r="E19" s="9">
        <v>175</v>
      </c>
    </row>
    <row r="20" spans="1:15" x14ac:dyDescent="0.25">
      <c r="E20" s="12"/>
    </row>
    <row r="21" spans="1:15" x14ac:dyDescent="0.25">
      <c r="B21" s="6" t="s">
        <v>37</v>
      </c>
      <c r="C21" s="7"/>
      <c r="D21" s="7"/>
      <c r="E21" s="17"/>
      <c r="G21" s="6" t="s">
        <v>35</v>
      </c>
      <c r="H21" s="6"/>
      <c r="I21" s="6"/>
      <c r="J21" s="16">
        <v>1</v>
      </c>
      <c r="K21" s="16">
        <f>J21+1</f>
        <v>2</v>
      </c>
      <c r="L21" s="16">
        <f t="shared" ref="L21:N21" si="0">K21+1</f>
        <v>3</v>
      </c>
      <c r="M21" s="16">
        <f t="shared" si="0"/>
        <v>4</v>
      </c>
      <c r="N21" s="16">
        <f t="shared" si="0"/>
        <v>5</v>
      </c>
    </row>
    <row r="22" spans="1:15" x14ac:dyDescent="0.25">
      <c r="B22" s="11" t="s">
        <v>38</v>
      </c>
      <c r="E22" s="12"/>
      <c r="G22" s="4" t="s">
        <v>36</v>
      </c>
      <c r="J22" s="23">
        <v>0.08</v>
      </c>
      <c r="K22" s="23">
        <v>7.0000000000000007E-2</v>
      </c>
      <c r="L22" s="23">
        <v>0.06</v>
      </c>
      <c r="M22" s="23">
        <v>0.05</v>
      </c>
      <c r="N22" s="23">
        <v>4.4999999999999998E-2</v>
      </c>
    </row>
    <row r="23" spans="1:15" x14ac:dyDescent="0.25">
      <c r="B23" s="4" t="s">
        <v>18</v>
      </c>
      <c r="E23" s="110">
        <v>7.5</v>
      </c>
      <c r="G23" s="4" t="s">
        <v>42</v>
      </c>
      <c r="J23" s="24" t="s">
        <v>43</v>
      </c>
      <c r="K23" s="24" t="s">
        <v>43</v>
      </c>
      <c r="L23" s="24" t="s">
        <v>43</v>
      </c>
      <c r="M23" s="24" t="s">
        <v>43</v>
      </c>
      <c r="N23" s="24" t="s">
        <v>43</v>
      </c>
    </row>
    <row r="24" spans="1:15" x14ac:dyDescent="0.25">
      <c r="B24" s="4" t="s">
        <v>39</v>
      </c>
      <c r="E24" s="9">
        <v>95</v>
      </c>
      <c r="G24" s="4" t="s">
        <v>44</v>
      </c>
      <c r="J24" s="23">
        <v>0.06</v>
      </c>
      <c r="K24" s="23">
        <v>0.06</v>
      </c>
      <c r="L24" s="23">
        <v>0.06</v>
      </c>
      <c r="M24" s="23">
        <v>0.06</v>
      </c>
      <c r="N24" s="23">
        <v>0.06</v>
      </c>
    </row>
    <row r="25" spans="1:15" x14ac:dyDescent="0.25">
      <c r="B25" s="4" t="s">
        <v>40</v>
      </c>
      <c r="E25" s="9">
        <v>75</v>
      </c>
      <c r="G25" s="4" t="s">
        <v>45</v>
      </c>
      <c r="J25" s="23">
        <v>4.4999999999999998E-2</v>
      </c>
      <c r="K25" s="23">
        <v>4.4999999999999998E-2</v>
      </c>
      <c r="L25" s="23">
        <v>4.4999999999999998E-2</v>
      </c>
      <c r="M25" s="23">
        <v>4.4999999999999998E-2</v>
      </c>
      <c r="N25" s="23">
        <v>4.4999999999999998E-2</v>
      </c>
    </row>
    <row r="26" spans="1:15" x14ac:dyDescent="0.25">
      <c r="B26" s="4" t="s">
        <v>41</v>
      </c>
      <c r="E26" s="9">
        <v>5</v>
      </c>
      <c r="G26" s="4" t="s">
        <v>46</v>
      </c>
      <c r="J26" s="23">
        <v>5.0999999999999997E-2</v>
      </c>
      <c r="K26" s="23">
        <v>5.0999999999999997E-2</v>
      </c>
      <c r="L26" s="23">
        <v>5.0999999999999997E-2</v>
      </c>
      <c r="M26" s="23">
        <v>5.0999999999999997E-2</v>
      </c>
      <c r="N26" s="23">
        <v>5.0999999999999997E-2</v>
      </c>
    </row>
    <row r="27" spans="1:15" x14ac:dyDescent="0.25">
      <c r="B27" s="4" t="s">
        <v>31</v>
      </c>
      <c r="E27" s="110">
        <v>7.5</v>
      </c>
      <c r="G27" s="4" t="s">
        <v>73</v>
      </c>
      <c r="J27" s="23">
        <v>0.24</v>
      </c>
      <c r="K27" s="23">
        <v>0.24</v>
      </c>
      <c r="L27" s="23">
        <v>0.24</v>
      </c>
      <c r="M27" s="23">
        <v>0.24</v>
      </c>
      <c r="N27" s="23">
        <v>0.24</v>
      </c>
    </row>
    <row r="28" spans="1:15" x14ac:dyDescent="0.25">
      <c r="E28" s="12"/>
    </row>
    <row r="29" spans="1:15" x14ac:dyDescent="0.25">
      <c r="A29" s="4" t="s">
        <v>0</v>
      </c>
      <c r="B29" s="5" t="s">
        <v>47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5.0999999999999996" customHeight="1" x14ac:dyDescent="0.25">
      <c r="B30" s="11"/>
      <c r="C30" s="11"/>
      <c r="D30" s="11"/>
      <c r="E30" s="21"/>
      <c r="F30" s="21"/>
      <c r="G30" s="21"/>
      <c r="H30" s="21"/>
      <c r="I30" s="21"/>
    </row>
    <row r="31" spans="1:15" x14ac:dyDescent="0.25">
      <c r="B31" s="6" t="s">
        <v>48</v>
      </c>
      <c r="C31" s="7"/>
      <c r="D31" s="7"/>
      <c r="E31" s="7"/>
      <c r="F31" s="7"/>
      <c r="G31" s="7"/>
      <c r="J31" s="6" t="s">
        <v>49</v>
      </c>
      <c r="K31" s="7"/>
      <c r="L31" s="7"/>
      <c r="M31" s="7"/>
      <c r="N31" s="7"/>
      <c r="O31" s="7"/>
    </row>
    <row r="32" spans="1:15" x14ac:dyDescent="0.25">
      <c r="E32" s="29" t="s">
        <v>27</v>
      </c>
      <c r="F32" s="29" t="s">
        <v>52</v>
      </c>
      <c r="G32" s="29" t="s">
        <v>53</v>
      </c>
      <c r="H32" s="19"/>
      <c r="I32" s="19"/>
      <c r="M32" s="29" t="s">
        <v>27</v>
      </c>
      <c r="N32" s="29" t="s">
        <v>52</v>
      </c>
      <c r="O32" s="29" t="s">
        <v>53</v>
      </c>
    </row>
    <row r="33" spans="1:15" x14ac:dyDescent="0.25">
      <c r="B33" s="4" t="s">
        <v>24</v>
      </c>
      <c r="E33" s="30">
        <f>M8</f>
        <v>150</v>
      </c>
      <c r="F33" s="47">
        <f>E33/$I$8</f>
        <v>0.29702970297029702</v>
      </c>
      <c r="G33" s="22">
        <f>E33/$E$40</f>
        <v>3.8634900193174504E-2</v>
      </c>
      <c r="H33" s="22"/>
      <c r="I33" s="22"/>
      <c r="J33" s="4" t="s">
        <v>57</v>
      </c>
      <c r="M33" s="30">
        <f>I11</f>
        <v>1065</v>
      </c>
      <c r="N33" s="47">
        <f>M33/$I$8</f>
        <v>2.108910891089109</v>
      </c>
      <c r="O33" s="22">
        <f>M33/$M$40</f>
        <v>0.27430779137153893</v>
      </c>
    </row>
    <row r="34" spans="1:15" x14ac:dyDescent="0.25">
      <c r="B34" s="4" t="s">
        <v>25</v>
      </c>
      <c r="E34" s="30">
        <f>M9</f>
        <v>1900</v>
      </c>
      <c r="F34" s="47">
        <f t="shared" ref="F34:F35" si="1">E34/$I$8</f>
        <v>3.7623762376237622</v>
      </c>
      <c r="G34" s="22">
        <f t="shared" ref="G34:G35" si="2">E34/$E$40</f>
        <v>0.48937540244687699</v>
      </c>
      <c r="H34" s="22"/>
      <c r="I34" s="22"/>
      <c r="J34" s="4" t="s">
        <v>58</v>
      </c>
      <c r="M34" s="30">
        <f>I12</f>
        <v>2722.5</v>
      </c>
      <c r="N34" s="47">
        <f>M34/$I$8</f>
        <v>5.391089108910891</v>
      </c>
      <c r="O34" s="22">
        <f t="shared" ref="O34:O36" si="3">M34/$M$40</f>
        <v>0.70122343850611724</v>
      </c>
    </row>
    <row r="35" spans="1:15" x14ac:dyDescent="0.25">
      <c r="B35" s="4" t="s">
        <v>26</v>
      </c>
      <c r="E35" s="30">
        <f>M10</f>
        <v>350</v>
      </c>
      <c r="F35" s="47">
        <f t="shared" si="1"/>
        <v>0.69306930693069302</v>
      </c>
      <c r="G35" s="22">
        <f t="shared" si="2"/>
        <v>9.0148100450740495E-2</v>
      </c>
      <c r="H35" s="22"/>
      <c r="I35" s="22"/>
      <c r="N35" s="47"/>
      <c r="O35" s="22"/>
    </row>
    <row r="36" spans="1:15" x14ac:dyDescent="0.25">
      <c r="B36" s="32" t="s">
        <v>54</v>
      </c>
      <c r="C36" s="31"/>
      <c r="D36" s="31"/>
      <c r="E36" s="49">
        <f>SUM(E33:E35)</f>
        <v>2400</v>
      </c>
      <c r="F36" s="50">
        <f>SUM(F33:F35)</f>
        <v>4.7524752475247523</v>
      </c>
      <c r="G36" s="51">
        <f>SUM(G33:G35)</f>
        <v>0.61815840309079206</v>
      </c>
      <c r="J36" s="4" t="s">
        <v>22</v>
      </c>
      <c r="M36" s="30">
        <f>E24</f>
        <v>95</v>
      </c>
      <c r="N36" s="47">
        <f t="shared" ref="N36" si="4">M36/$I$8</f>
        <v>0.18811881188118812</v>
      </c>
      <c r="O36" s="22">
        <f t="shared" si="3"/>
        <v>2.4468770122343851E-2</v>
      </c>
    </row>
    <row r="38" spans="1:15" x14ac:dyDescent="0.25">
      <c r="B38" s="4" t="s">
        <v>55</v>
      </c>
      <c r="E38" s="18">
        <f>E40-E36</f>
        <v>1482.5</v>
      </c>
      <c r="F38" s="47">
        <f>E38/$I$8</f>
        <v>2.9356435643564356</v>
      </c>
      <c r="G38" s="20">
        <f>E38/E40</f>
        <v>0.38184159690920799</v>
      </c>
    </row>
    <row r="40" spans="1:15" x14ac:dyDescent="0.25">
      <c r="B40" s="33" t="s">
        <v>56</v>
      </c>
      <c r="C40" s="34"/>
      <c r="D40" s="34"/>
      <c r="E40" s="52">
        <f>M40</f>
        <v>3882.5</v>
      </c>
      <c r="F40" s="54">
        <f>F38+F36</f>
        <v>7.6881188118811874</v>
      </c>
      <c r="G40" s="53">
        <f>G38+G36</f>
        <v>1</v>
      </c>
      <c r="J40" s="33" t="s">
        <v>59</v>
      </c>
      <c r="K40" s="34"/>
      <c r="L40" s="34"/>
      <c r="M40" s="48">
        <f>M36+M34+M33</f>
        <v>3882.5</v>
      </c>
      <c r="N40" s="54">
        <f>N36+N34+N33</f>
        <v>7.6881188118811883</v>
      </c>
      <c r="O40" s="53">
        <f>O36+O34+O33</f>
        <v>1</v>
      </c>
    </row>
    <row r="42" spans="1:15" x14ac:dyDescent="0.25">
      <c r="A42" s="4" t="s">
        <v>0</v>
      </c>
      <c r="B42" s="5" t="s">
        <v>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5.0999999999999996" customHeight="1" x14ac:dyDescent="0.25"/>
    <row r="44" spans="1:15" x14ac:dyDescent="0.25">
      <c r="B44" s="6" t="s">
        <v>60</v>
      </c>
      <c r="C44" s="6"/>
      <c r="D44" s="6"/>
      <c r="E44" s="6"/>
      <c r="F44" s="6"/>
      <c r="G44" s="6"/>
      <c r="H44" s="6"/>
      <c r="I44" s="6"/>
      <c r="J44" s="16">
        <v>0</v>
      </c>
      <c r="K44" s="16">
        <f>J44+1</f>
        <v>1</v>
      </c>
      <c r="L44" s="16">
        <f t="shared" ref="L44:O44" si="5">K44+1</f>
        <v>2</v>
      </c>
      <c r="M44" s="16">
        <f t="shared" si="5"/>
        <v>3</v>
      </c>
      <c r="N44" s="16">
        <f t="shared" si="5"/>
        <v>4</v>
      </c>
      <c r="O44" s="16">
        <f t="shared" si="5"/>
        <v>5</v>
      </c>
    </row>
    <row r="45" spans="1:15" x14ac:dyDescent="0.25">
      <c r="B45" s="4" t="s">
        <v>61</v>
      </c>
      <c r="J45" s="30">
        <f>E9</f>
        <v>2850</v>
      </c>
      <c r="K45" s="41">
        <f>J45*(1+K46)</f>
        <v>3078</v>
      </c>
      <c r="L45" s="41">
        <f t="shared" ref="L45:O45" si="6">K45*(1+L46)</f>
        <v>3293.46</v>
      </c>
      <c r="M45" s="41">
        <f t="shared" si="6"/>
        <v>3491.0676000000003</v>
      </c>
      <c r="N45" s="41">
        <f t="shared" si="6"/>
        <v>3665.6209800000006</v>
      </c>
      <c r="O45" s="41">
        <f t="shared" si="6"/>
        <v>3830.5739241000006</v>
      </c>
    </row>
    <row r="46" spans="1:15" x14ac:dyDescent="0.25">
      <c r="B46" s="40" t="s">
        <v>62</v>
      </c>
      <c r="J46" s="19" t="s">
        <v>50</v>
      </c>
      <c r="K46" s="44">
        <f>J22</f>
        <v>0.08</v>
      </c>
      <c r="L46" s="44">
        <f t="shared" ref="L46:O46" si="7">K22</f>
        <v>7.0000000000000007E-2</v>
      </c>
      <c r="M46" s="44">
        <f t="shared" si="7"/>
        <v>0.06</v>
      </c>
      <c r="N46" s="44">
        <f t="shared" si="7"/>
        <v>0.05</v>
      </c>
      <c r="O46" s="44">
        <f t="shared" si="7"/>
        <v>4.4999999999999998E-2</v>
      </c>
    </row>
    <row r="48" spans="1:15" x14ac:dyDescent="0.25">
      <c r="B48" s="4" t="s">
        <v>63</v>
      </c>
      <c r="J48" s="30">
        <f>E10</f>
        <v>1760</v>
      </c>
      <c r="K48" s="41">
        <f>K45*K49</f>
        <v>1900.8000000000002</v>
      </c>
      <c r="L48" s="41">
        <f t="shared" ref="L48:O48" si="8">L45*L49</f>
        <v>2033.8560000000002</v>
      </c>
      <c r="M48" s="41">
        <f t="shared" si="8"/>
        <v>2155.8873600000002</v>
      </c>
      <c r="N48" s="41">
        <f t="shared" si="8"/>
        <v>2263.6817280000005</v>
      </c>
      <c r="O48" s="41">
        <f t="shared" si="8"/>
        <v>2365.5474057600004</v>
      </c>
    </row>
    <row r="49" spans="2:15" x14ac:dyDescent="0.25">
      <c r="B49" s="40" t="s">
        <v>64</v>
      </c>
      <c r="J49" s="45">
        <f>J48/J45</f>
        <v>0.61754385964912284</v>
      </c>
      <c r="K49" s="44">
        <f>J49</f>
        <v>0.61754385964912284</v>
      </c>
      <c r="L49" s="44">
        <f t="shared" ref="L49:O49" si="9">K49</f>
        <v>0.61754385964912284</v>
      </c>
      <c r="M49" s="44">
        <f t="shared" si="9"/>
        <v>0.61754385964912284</v>
      </c>
      <c r="N49" s="44">
        <f t="shared" si="9"/>
        <v>0.61754385964912284</v>
      </c>
      <c r="O49" s="44">
        <f t="shared" si="9"/>
        <v>0.61754385964912284</v>
      </c>
    </row>
    <row r="51" spans="2:15" x14ac:dyDescent="0.25">
      <c r="B51" s="4" t="s">
        <v>65</v>
      </c>
      <c r="J51" s="30">
        <f>J45-J48</f>
        <v>1090</v>
      </c>
      <c r="K51" s="41">
        <f t="shared" ref="K51:O51" si="10">K45-K48</f>
        <v>1177.1999999999998</v>
      </c>
      <c r="L51" s="41">
        <f t="shared" si="10"/>
        <v>1259.6039999999998</v>
      </c>
      <c r="M51" s="41">
        <f t="shared" si="10"/>
        <v>1335.1802400000001</v>
      </c>
      <c r="N51" s="41">
        <f t="shared" si="10"/>
        <v>1401.9392520000001</v>
      </c>
      <c r="O51" s="41">
        <f t="shared" si="10"/>
        <v>1465.0265183400002</v>
      </c>
    </row>
    <row r="52" spans="2:15" x14ac:dyDescent="0.25">
      <c r="B52" s="40" t="s">
        <v>64</v>
      </c>
      <c r="J52" s="45">
        <f>J51/J45</f>
        <v>0.38245614035087722</v>
      </c>
      <c r="K52" s="45">
        <f t="shared" ref="K52:O52" si="11">K51/K45</f>
        <v>0.38245614035087716</v>
      </c>
      <c r="L52" s="45">
        <f t="shared" si="11"/>
        <v>0.38245614035087711</v>
      </c>
      <c r="M52" s="45">
        <f t="shared" si="11"/>
        <v>0.38245614035087722</v>
      </c>
      <c r="N52" s="45">
        <f t="shared" si="11"/>
        <v>0.38245614035087716</v>
      </c>
      <c r="O52" s="45">
        <f t="shared" si="11"/>
        <v>0.38245614035087716</v>
      </c>
    </row>
    <row r="54" spans="2:15" x14ac:dyDescent="0.25">
      <c r="B54" s="4" t="s">
        <v>66</v>
      </c>
      <c r="J54" s="30">
        <f>E11+E12+E13+E14</f>
        <v>730</v>
      </c>
      <c r="K54" s="41">
        <f>K45*K55</f>
        <v>788.40000000000009</v>
      </c>
      <c r="L54" s="41">
        <f t="shared" ref="L54:O54" si="12">L45*L55</f>
        <v>843.58800000000008</v>
      </c>
      <c r="M54" s="41">
        <f t="shared" si="12"/>
        <v>894.20328000000018</v>
      </c>
      <c r="N54" s="41">
        <f t="shared" si="12"/>
        <v>938.91344400000025</v>
      </c>
      <c r="O54" s="41">
        <f t="shared" si="12"/>
        <v>981.16454898000018</v>
      </c>
    </row>
    <row r="55" spans="2:15" x14ac:dyDescent="0.25">
      <c r="B55" s="40" t="s">
        <v>64</v>
      </c>
      <c r="J55" s="45">
        <f>J54/J45</f>
        <v>0.256140350877193</v>
      </c>
      <c r="K55" s="46">
        <f>J55</f>
        <v>0.256140350877193</v>
      </c>
      <c r="L55" s="46">
        <f t="shared" ref="L55:O55" si="13">K55</f>
        <v>0.256140350877193</v>
      </c>
      <c r="M55" s="46">
        <f t="shared" si="13"/>
        <v>0.256140350877193</v>
      </c>
      <c r="N55" s="46">
        <f t="shared" si="13"/>
        <v>0.256140350877193</v>
      </c>
      <c r="O55" s="46">
        <f t="shared" si="13"/>
        <v>0.256140350877193</v>
      </c>
    </row>
    <row r="57" spans="2:15" x14ac:dyDescent="0.25">
      <c r="B57" s="4" t="s">
        <v>67</v>
      </c>
      <c r="J57" s="18">
        <f>J51-J54</f>
        <v>360</v>
      </c>
      <c r="K57" s="18">
        <f t="shared" ref="K57:O57" si="14">K51-K54</f>
        <v>388.79999999999973</v>
      </c>
      <c r="L57" s="18">
        <f t="shared" si="14"/>
        <v>416.01599999999974</v>
      </c>
      <c r="M57" s="18">
        <f t="shared" si="14"/>
        <v>440.97695999999996</v>
      </c>
      <c r="N57" s="18">
        <f t="shared" si="14"/>
        <v>463.02580799999987</v>
      </c>
      <c r="O57" s="18">
        <f t="shared" si="14"/>
        <v>483.86196935999999</v>
      </c>
    </row>
    <row r="58" spans="2:15" x14ac:dyDescent="0.25">
      <c r="B58" s="40" t="s">
        <v>64</v>
      </c>
      <c r="J58" s="45">
        <f>J57/J45</f>
        <v>0.12631578947368421</v>
      </c>
      <c r="K58" s="45">
        <f t="shared" ref="K58:O58" si="15">K57/K45</f>
        <v>0.12631578947368413</v>
      </c>
      <c r="L58" s="45">
        <f t="shared" si="15"/>
        <v>0.12631578947368413</v>
      </c>
      <c r="M58" s="45">
        <f t="shared" si="15"/>
        <v>0.12631578947368419</v>
      </c>
      <c r="N58" s="45">
        <f t="shared" si="15"/>
        <v>0.12631578947368416</v>
      </c>
      <c r="O58" s="45">
        <f t="shared" si="15"/>
        <v>0.12631578947368419</v>
      </c>
    </row>
    <row r="60" spans="2:15" x14ac:dyDescent="0.25">
      <c r="B60" s="4" t="s">
        <v>9</v>
      </c>
      <c r="J60" s="30">
        <f>E14</f>
        <v>145</v>
      </c>
      <c r="K60" s="41">
        <f>K45*K61</f>
        <v>156.97799999999998</v>
      </c>
      <c r="L60" s="41">
        <f t="shared" ref="L60:O60" si="16">L45*L61</f>
        <v>167.96645999999998</v>
      </c>
      <c r="M60" s="41">
        <f t="shared" si="16"/>
        <v>178.04444760000001</v>
      </c>
      <c r="N60" s="41">
        <f t="shared" si="16"/>
        <v>186.94666998000002</v>
      </c>
      <c r="O60" s="41">
        <f t="shared" si="16"/>
        <v>195.35927012910003</v>
      </c>
    </row>
    <row r="61" spans="2:15" x14ac:dyDescent="0.25">
      <c r="B61" s="40" t="s">
        <v>64</v>
      </c>
      <c r="J61" s="45">
        <f>J60/J45</f>
        <v>5.0877192982456139E-2</v>
      </c>
      <c r="K61" s="46">
        <f>J26</f>
        <v>5.0999999999999997E-2</v>
      </c>
      <c r="L61" s="46">
        <f t="shared" ref="L61:O61" si="17">K26</f>
        <v>5.0999999999999997E-2</v>
      </c>
      <c r="M61" s="46">
        <f t="shared" si="17"/>
        <v>5.0999999999999997E-2</v>
      </c>
      <c r="N61" s="46">
        <f t="shared" si="17"/>
        <v>5.0999999999999997E-2</v>
      </c>
      <c r="O61" s="46">
        <f t="shared" si="17"/>
        <v>5.0999999999999997E-2</v>
      </c>
    </row>
    <row r="63" spans="2:15" x14ac:dyDescent="0.25">
      <c r="B63" s="4" t="s">
        <v>68</v>
      </c>
      <c r="J63" s="18">
        <f>J57+J60</f>
        <v>505</v>
      </c>
      <c r="K63" s="18">
        <f t="shared" ref="K63:O63" si="18">K57+K60</f>
        <v>545.77799999999968</v>
      </c>
      <c r="L63" s="18">
        <f t="shared" si="18"/>
        <v>583.98245999999972</v>
      </c>
      <c r="M63" s="18">
        <f t="shared" si="18"/>
        <v>619.02140759999997</v>
      </c>
      <c r="N63" s="18">
        <f t="shared" si="18"/>
        <v>649.97247797999989</v>
      </c>
      <c r="O63" s="18">
        <f t="shared" si="18"/>
        <v>679.22123948910007</v>
      </c>
    </row>
    <row r="64" spans="2:15" x14ac:dyDescent="0.25">
      <c r="B64" s="40" t="s">
        <v>64</v>
      </c>
      <c r="J64" s="45">
        <f>J63/J45</f>
        <v>0.17719298245614035</v>
      </c>
      <c r="K64" s="45">
        <f t="shared" ref="K64:O64" si="19">K63/K45</f>
        <v>0.17731578947368409</v>
      </c>
      <c r="L64" s="45">
        <f t="shared" si="19"/>
        <v>0.17731578947368412</v>
      </c>
      <c r="M64" s="45">
        <f t="shared" si="19"/>
        <v>0.17731578947368418</v>
      </c>
      <c r="N64" s="45">
        <f t="shared" si="19"/>
        <v>0.17731578947368415</v>
      </c>
      <c r="O64" s="45">
        <f t="shared" si="19"/>
        <v>0.1773157894736842</v>
      </c>
    </row>
    <row r="66" spans="1:15" x14ac:dyDescent="0.25">
      <c r="B66" s="11" t="s">
        <v>28</v>
      </c>
      <c r="J66" s="70">
        <f>E15</f>
        <v>72</v>
      </c>
      <c r="K66" s="70">
        <f>K126</f>
        <v>173</v>
      </c>
      <c r="L66" s="70">
        <f t="shared" ref="L66:O66" si="20">L126</f>
        <v>167.68275000000003</v>
      </c>
      <c r="M66" s="70">
        <f t="shared" si="20"/>
        <v>159.88962990000005</v>
      </c>
      <c r="N66" s="70">
        <f t="shared" si="20"/>
        <v>149.54948746668003</v>
      </c>
      <c r="O66" s="70">
        <f t="shared" si="20"/>
        <v>137.31611059870744</v>
      </c>
    </row>
    <row r="68" spans="1:15" x14ac:dyDescent="0.25">
      <c r="B68" s="4" t="s">
        <v>69</v>
      </c>
      <c r="J68" s="18">
        <f>J57-J66</f>
        <v>288</v>
      </c>
      <c r="K68" s="18">
        <f t="shared" ref="K68:O68" si="21">K57-K66</f>
        <v>215.79999999999973</v>
      </c>
      <c r="L68" s="18">
        <f t="shared" si="21"/>
        <v>248.33324999999971</v>
      </c>
      <c r="M68" s="18">
        <f t="shared" si="21"/>
        <v>281.08733009999992</v>
      </c>
      <c r="N68" s="18">
        <f t="shared" si="21"/>
        <v>313.47632053331984</v>
      </c>
      <c r="O68" s="18">
        <f t="shared" si="21"/>
        <v>346.54585876129255</v>
      </c>
    </row>
    <row r="69" spans="1:15" x14ac:dyDescent="0.25">
      <c r="B69" s="40" t="s">
        <v>64</v>
      </c>
      <c r="J69" s="45">
        <f>J68/J45</f>
        <v>0.10105263157894737</v>
      </c>
      <c r="K69" s="45">
        <f t="shared" ref="K69:O69" si="22">K68/K45</f>
        <v>7.0110461338531424E-2</v>
      </c>
      <c r="L69" s="45">
        <f t="shared" si="22"/>
        <v>7.5401932921608184E-2</v>
      </c>
      <c r="M69" s="45">
        <f t="shared" si="22"/>
        <v>8.0516152165028221E-2</v>
      </c>
      <c r="N69" s="45">
        <f t="shared" si="22"/>
        <v>8.5517930589026639E-2</v>
      </c>
      <c r="O69" s="45">
        <f t="shared" si="22"/>
        <v>9.0468390801964241E-2</v>
      </c>
    </row>
    <row r="71" spans="1:15" x14ac:dyDescent="0.25">
      <c r="B71" s="4" t="s">
        <v>70</v>
      </c>
      <c r="J71" s="18">
        <f>J68*J72</f>
        <v>69.12</v>
      </c>
      <c r="K71" s="18">
        <f t="shared" ref="K71:O71" si="23">K68*K72</f>
        <v>51.791999999999931</v>
      </c>
      <c r="L71" s="18">
        <f t="shared" si="23"/>
        <v>59.599979999999931</v>
      </c>
      <c r="M71" s="18">
        <f t="shared" si="23"/>
        <v>67.460959223999978</v>
      </c>
      <c r="N71" s="18">
        <f t="shared" si="23"/>
        <v>75.234316927996758</v>
      </c>
      <c r="O71" s="18">
        <f t="shared" si="23"/>
        <v>83.171006102710209</v>
      </c>
    </row>
    <row r="72" spans="1:15" x14ac:dyDescent="0.25">
      <c r="B72" s="40" t="s">
        <v>71</v>
      </c>
      <c r="J72" s="46">
        <f>J27</f>
        <v>0.24</v>
      </c>
      <c r="K72" s="46">
        <f>J72</f>
        <v>0.24</v>
      </c>
      <c r="L72" s="46">
        <f t="shared" ref="L72:O72" si="24">K72</f>
        <v>0.24</v>
      </c>
      <c r="M72" s="46">
        <f t="shared" si="24"/>
        <v>0.24</v>
      </c>
      <c r="N72" s="46">
        <f t="shared" si="24"/>
        <v>0.24</v>
      </c>
      <c r="O72" s="46">
        <f t="shared" si="24"/>
        <v>0.24</v>
      </c>
    </row>
    <row r="74" spans="1:15" x14ac:dyDescent="0.25">
      <c r="B74" s="4" t="s">
        <v>72</v>
      </c>
      <c r="J74" s="18">
        <f>J68-J71</f>
        <v>218.88</v>
      </c>
      <c r="K74" s="18">
        <f t="shared" ref="K74:O74" si="25">K68-K71</f>
        <v>164.00799999999981</v>
      </c>
      <c r="L74" s="18">
        <f t="shared" si="25"/>
        <v>188.73326999999978</v>
      </c>
      <c r="M74" s="18">
        <f t="shared" si="25"/>
        <v>213.62637087599995</v>
      </c>
      <c r="N74" s="18">
        <f t="shared" si="25"/>
        <v>238.24200360532308</v>
      </c>
      <c r="O74" s="18">
        <f t="shared" si="25"/>
        <v>263.37485265858231</v>
      </c>
    </row>
    <row r="75" spans="1:15" x14ac:dyDescent="0.25">
      <c r="B75" s="40" t="s">
        <v>64</v>
      </c>
      <c r="J75" s="55">
        <f>J74/J45</f>
        <v>7.6799999999999993E-2</v>
      </c>
      <c r="K75" s="55">
        <f t="shared" ref="K75:O75" si="26">K74/K45</f>
        <v>5.3283950617283887E-2</v>
      </c>
      <c r="L75" s="55">
        <f t="shared" si="26"/>
        <v>5.7305469020422224E-2</v>
      </c>
      <c r="M75" s="55">
        <f t="shared" si="26"/>
        <v>6.1192275645421457E-2</v>
      </c>
      <c r="N75" s="55">
        <f t="shared" si="26"/>
        <v>6.4993627247660238E-2</v>
      </c>
      <c r="O75" s="55">
        <f t="shared" si="26"/>
        <v>6.8755977009492819E-2</v>
      </c>
    </row>
    <row r="77" spans="1:15" x14ac:dyDescent="0.25">
      <c r="A77" s="4" t="s">
        <v>0</v>
      </c>
      <c r="B77" s="6" t="s">
        <v>74</v>
      </c>
      <c r="C77" s="6"/>
      <c r="D77" s="6"/>
      <c r="E77" s="6"/>
      <c r="F77" s="6"/>
      <c r="G77" s="6"/>
      <c r="H77" s="6"/>
      <c r="I77" s="6"/>
      <c r="J77" s="16">
        <v>0</v>
      </c>
      <c r="K77" s="16">
        <f>J77+1</f>
        <v>1</v>
      </c>
      <c r="L77" s="16">
        <f t="shared" ref="L77:O77" si="27">K77+1</f>
        <v>2</v>
      </c>
      <c r="M77" s="16">
        <f t="shared" si="27"/>
        <v>3</v>
      </c>
      <c r="N77" s="16">
        <f t="shared" si="27"/>
        <v>4</v>
      </c>
      <c r="O77" s="16">
        <f t="shared" si="27"/>
        <v>5</v>
      </c>
    </row>
    <row r="78" spans="1:15" x14ac:dyDescent="0.25">
      <c r="B78" s="4" t="s">
        <v>9</v>
      </c>
      <c r="J78" s="30">
        <f>E14</f>
        <v>145</v>
      </c>
      <c r="K78" s="41">
        <f>K45*K79</f>
        <v>156.97799999999998</v>
      </c>
      <c r="L78" s="41">
        <f t="shared" ref="L78:O78" si="28">L45*L79</f>
        <v>167.96645999999998</v>
      </c>
      <c r="M78" s="41">
        <f t="shared" si="28"/>
        <v>178.04444760000001</v>
      </c>
      <c r="N78" s="41">
        <f t="shared" si="28"/>
        <v>186.94666998000002</v>
      </c>
      <c r="O78" s="41">
        <f t="shared" si="28"/>
        <v>195.35927012910003</v>
      </c>
    </row>
    <row r="79" spans="1:15" x14ac:dyDescent="0.25">
      <c r="B79" s="40" t="s">
        <v>64</v>
      </c>
      <c r="J79" s="45">
        <f>J78/J45</f>
        <v>5.0877192982456139E-2</v>
      </c>
      <c r="K79" s="46">
        <f>J26</f>
        <v>5.0999999999999997E-2</v>
      </c>
      <c r="L79" s="46">
        <f t="shared" ref="L79:O79" si="29">K26</f>
        <v>5.0999999999999997E-2</v>
      </c>
      <c r="M79" s="46">
        <f t="shared" si="29"/>
        <v>5.0999999999999997E-2</v>
      </c>
      <c r="N79" s="46">
        <f t="shared" si="29"/>
        <v>5.0999999999999997E-2</v>
      </c>
      <c r="O79" s="46">
        <f t="shared" si="29"/>
        <v>5.0999999999999997E-2</v>
      </c>
    </row>
    <row r="81" spans="1:15" x14ac:dyDescent="0.25">
      <c r="B81" s="4" t="s">
        <v>45</v>
      </c>
      <c r="J81" s="30">
        <f>E19</f>
        <v>175</v>
      </c>
      <c r="K81" s="41">
        <f>K45*K82</f>
        <v>138.51</v>
      </c>
      <c r="L81" s="41">
        <f t="shared" ref="L81:O81" si="30">L45*L82</f>
        <v>148.20570000000001</v>
      </c>
      <c r="M81" s="41">
        <f t="shared" si="30"/>
        <v>157.09804200000002</v>
      </c>
      <c r="N81" s="41">
        <f t="shared" si="30"/>
        <v>164.95294410000002</v>
      </c>
      <c r="O81" s="41">
        <f t="shared" si="30"/>
        <v>172.37582658450003</v>
      </c>
    </row>
    <row r="82" spans="1:15" x14ac:dyDescent="0.25">
      <c r="B82" s="40" t="s">
        <v>64</v>
      </c>
      <c r="J82" s="45">
        <f>J81/J45</f>
        <v>6.1403508771929821E-2</v>
      </c>
      <c r="K82" s="79">
        <f>J25</f>
        <v>4.4999999999999998E-2</v>
      </c>
      <c r="L82" s="79">
        <f t="shared" ref="L82:O82" si="31">K25</f>
        <v>4.4999999999999998E-2</v>
      </c>
      <c r="M82" s="79">
        <f t="shared" si="31"/>
        <v>4.4999999999999998E-2</v>
      </c>
      <c r="N82" s="79">
        <f t="shared" si="31"/>
        <v>4.4999999999999998E-2</v>
      </c>
      <c r="O82" s="79">
        <f t="shared" si="31"/>
        <v>4.4999999999999998E-2</v>
      </c>
    </row>
    <row r="84" spans="1:15" x14ac:dyDescent="0.25">
      <c r="B84" s="4" t="s">
        <v>13</v>
      </c>
      <c r="J84" s="30">
        <f>E18</f>
        <v>160</v>
      </c>
      <c r="K84" s="41">
        <f>K45*K85</f>
        <v>184.68</v>
      </c>
      <c r="L84" s="41">
        <f t="shared" ref="L84:O84" si="32">L45*L85</f>
        <v>197.60759999999999</v>
      </c>
      <c r="M84" s="41">
        <f t="shared" si="32"/>
        <v>209.464056</v>
      </c>
      <c r="N84" s="41">
        <f t="shared" si="32"/>
        <v>219.93725880000002</v>
      </c>
      <c r="O84" s="41">
        <f t="shared" si="32"/>
        <v>229.83443544600001</v>
      </c>
    </row>
    <row r="85" spans="1:15" x14ac:dyDescent="0.25">
      <c r="B85" s="40" t="s">
        <v>64</v>
      </c>
      <c r="J85" s="45">
        <f>J84/J45</f>
        <v>5.6140350877192984E-2</v>
      </c>
      <c r="K85" s="79">
        <f>J24</f>
        <v>0.06</v>
      </c>
      <c r="L85" s="79">
        <f t="shared" ref="L85:O85" si="33">K24</f>
        <v>0.06</v>
      </c>
      <c r="M85" s="79">
        <f t="shared" si="33"/>
        <v>0.06</v>
      </c>
      <c r="N85" s="79">
        <f t="shared" si="33"/>
        <v>0.06</v>
      </c>
      <c r="O85" s="79">
        <f t="shared" si="33"/>
        <v>0.06</v>
      </c>
    </row>
    <row r="86" spans="1:15" x14ac:dyDescent="0.25">
      <c r="B86" s="4" t="s">
        <v>75</v>
      </c>
      <c r="J86" s="56" t="s">
        <v>50</v>
      </c>
      <c r="K86" s="56">
        <f>K84-J84</f>
        <v>24.680000000000007</v>
      </c>
      <c r="L86" s="56">
        <f t="shared" ref="L86:O86" si="34">L84-K84</f>
        <v>12.927599999999984</v>
      </c>
      <c r="M86" s="56">
        <f t="shared" si="34"/>
        <v>11.856456000000009</v>
      </c>
      <c r="N86" s="56">
        <f t="shared" si="34"/>
        <v>10.473202800000024</v>
      </c>
      <c r="O86" s="56">
        <f t="shared" si="34"/>
        <v>9.8971766459999913</v>
      </c>
    </row>
    <row r="88" spans="1:15" x14ac:dyDescent="0.25">
      <c r="A88" s="4" t="s">
        <v>0</v>
      </c>
      <c r="B88" s="6" t="s">
        <v>76</v>
      </c>
      <c r="C88" s="6"/>
      <c r="D88" s="6"/>
      <c r="E88" s="6"/>
      <c r="F88" s="6"/>
      <c r="G88" s="6"/>
      <c r="H88" s="6"/>
      <c r="I88" s="6"/>
      <c r="J88" s="16">
        <v>0</v>
      </c>
      <c r="K88" s="16">
        <f>J88+1</f>
        <v>1</v>
      </c>
      <c r="L88" s="16">
        <f t="shared" ref="L88:O88" si="35">K88+1</f>
        <v>2</v>
      </c>
      <c r="M88" s="16">
        <f t="shared" si="35"/>
        <v>3</v>
      </c>
      <c r="N88" s="16">
        <f t="shared" si="35"/>
        <v>4</v>
      </c>
      <c r="O88" s="16">
        <f t="shared" si="35"/>
        <v>5</v>
      </c>
    </row>
    <row r="89" spans="1:15" x14ac:dyDescent="0.25">
      <c r="B89" s="4" t="s">
        <v>72</v>
      </c>
      <c r="J89" s="30">
        <f>J74</f>
        <v>218.88</v>
      </c>
      <c r="K89" s="30">
        <f t="shared" ref="K89:O89" si="36">K74</f>
        <v>164.00799999999981</v>
      </c>
      <c r="L89" s="30">
        <f t="shared" si="36"/>
        <v>188.73326999999978</v>
      </c>
      <c r="M89" s="30">
        <f t="shared" si="36"/>
        <v>213.62637087599995</v>
      </c>
      <c r="N89" s="30">
        <f t="shared" si="36"/>
        <v>238.24200360532308</v>
      </c>
      <c r="O89" s="30">
        <f t="shared" si="36"/>
        <v>263.37485265858231</v>
      </c>
    </row>
    <row r="90" spans="1:15" x14ac:dyDescent="0.25">
      <c r="B90" s="4" t="s">
        <v>9</v>
      </c>
      <c r="J90" s="30">
        <f>J78</f>
        <v>145</v>
      </c>
      <c r="K90" s="30">
        <f t="shared" ref="K90:O90" si="37">K78</f>
        <v>156.97799999999998</v>
      </c>
      <c r="L90" s="30">
        <f t="shared" si="37"/>
        <v>167.96645999999998</v>
      </c>
      <c r="M90" s="30">
        <f t="shared" si="37"/>
        <v>178.04444760000001</v>
      </c>
      <c r="N90" s="30">
        <f t="shared" si="37"/>
        <v>186.94666998000002</v>
      </c>
      <c r="O90" s="30">
        <f t="shared" si="37"/>
        <v>195.35927012910003</v>
      </c>
    </row>
    <row r="91" spans="1:15" x14ac:dyDescent="0.25">
      <c r="B91" s="4" t="s">
        <v>45</v>
      </c>
      <c r="J91" s="30">
        <f>J81</f>
        <v>175</v>
      </c>
      <c r="K91" s="30">
        <f t="shared" ref="K91:O91" si="38">K81</f>
        <v>138.51</v>
      </c>
      <c r="L91" s="30">
        <f t="shared" si="38"/>
        <v>148.20570000000001</v>
      </c>
      <c r="M91" s="30">
        <f t="shared" si="38"/>
        <v>157.09804200000002</v>
      </c>
      <c r="N91" s="30">
        <f t="shared" si="38"/>
        <v>164.95294410000002</v>
      </c>
      <c r="O91" s="30">
        <f t="shared" si="38"/>
        <v>172.37582658450003</v>
      </c>
    </row>
    <row r="92" spans="1:15" x14ac:dyDescent="0.25">
      <c r="B92" s="4" t="s">
        <v>77</v>
      </c>
      <c r="J92" s="57" t="str">
        <f>J86</f>
        <v>-</v>
      </c>
      <c r="K92" s="57">
        <f t="shared" ref="K92:O92" si="39">K86</f>
        <v>24.680000000000007</v>
      </c>
      <c r="L92" s="57">
        <f t="shared" si="39"/>
        <v>12.927599999999984</v>
      </c>
      <c r="M92" s="57">
        <f t="shared" si="39"/>
        <v>11.856456000000009</v>
      </c>
      <c r="N92" s="57">
        <f t="shared" si="39"/>
        <v>10.473202800000024</v>
      </c>
      <c r="O92" s="57">
        <f t="shared" si="39"/>
        <v>9.8971766459999913</v>
      </c>
    </row>
    <row r="93" spans="1:15" x14ac:dyDescent="0.25">
      <c r="B93" s="33" t="s">
        <v>76</v>
      </c>
      <c r="C93" s="34"/>
      <c r="D93" s="34"/>
      <c r="E93" s="34"/>
      <c r="F93" s="34"/>
      <c r="G93" s="34"/>
      <c r="H93" s="34"/>
      <c r="I93" s="34"/>
      <c r="J93" s="58" t="s">
        <v>50</v>
      </c>
      <c r="K93" s="48">
        <f>K89+K90-K91-K92</f>
        <v>157.79599999999976</v>
      </c>
      <c r="L93" s="48">
        <f t="shared" ref="L93:O93" si="40">L89+L90-L91-L92</f>
        <v>195.56642999999977</v>
      </c>
      <c r="M93" s="48">
        <f t="shared" si="40"/>
        <v>222.71632047599994</v>
      </c>
      <c r="N93" s="48">
        <f t="shared" si="40"/>
        <v>249.76252668532305</v>
      </c>
      <c r="O93" s="59">
        <f t="shared" si="40"/>
        <v>276.46111955718231</v>
      </c>
    </row>
    <row r="95" spans="1:15" x14ac:dyDescent="0.25">
      <c r="A95" s="4" t="s">
        <v>0</v>
      </c>
      <c r="B95" s="5" t="s">
        <v>78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5.0999999999999996" customHeight="1" x14ac:dyDescent="0.25">
      <c r="B96" s="11"/>
      <c r="C96" s="11"/>
      <c r="D96" s="11"/>
      <c r="E96" s="11"/>
      <c r="F96" s="11"/>
      <c r="G96" s="11"/>
      <c r="H96" s="11"/>
      <c r="I96" s="11"/>
      <c r="J96" s="21"/>
      <c r="K96" s="21"/>
      <c r="L96" s="21"/>
      <c r="M96" s="21"/>
      <c r="N96" s="21"/>
      <c r="O96" s="21"/>
    </row>
    <row r="97" spans="2:15" x14ac:dyDescent="0.25">
      <c r="B97" s="6"/>
      <c r="C97" s="6"/>
      <c r="D97" s="6"/>
      <c r="E97" s="6"/>
      <c r="F97" s="6"/>
      <c r="G97" s="6"/>
      <c r="H97" s="6"/>
      <c r="I97" s="6"/>
      <c r="J97" s="16">
        <v>0</v>
      </c>
      <c r="K97" s="16">
        <f>J97+1</f>
        <v>1</v>
      </c>
      <c r="L97" s="16">
        <f t="shared" ref="L97:O97" si="41">K97+1</f>
        <v>2</v>
      </c>
      <c r="M97" s="16">
        <f t="shared" si="41"/>
        <v>3</v>
      </c>
      <c r="N97" s="16">
        <f t="shared" si="41"/>
        <v>4</v>
      </c>
      <c r="O97" s="16">
        <f t="shared" si="41"/>
        <v>5</v>
      </c>
    </row>
    <row r="98" spans="2:15" x14ac:dyDescent="0.25">
      <c r="B98" s="65" t="s">
        <v>76</v>
      </c>
      <c r="C98" s="65"/>
      <c r="D98" s="65"/>
      <c r="E98" s="65"/>
      <c r="F98" s="65"/>
      <c r="G98" s="65"/>
      <c r="H98" s="65"/>
      <c r="I98" s="65"/>
      <c r="J98" s="66" t="str">
        <f>J93</f>
        <v>-</v>
      </c>
      <c r="K98" s="70">
        <f t="shared" ref="K98:O98" si="42">K93</f>
        <v>157.79599999999976</v>
      </c>
      <c r="L98" s="70">
        <f t="shared" si="42"/>
        <v>195.56642999999977</v>
      </c>
      <c r="M98" s="70">
        <f t="shared" si="42"/>
        <v>222.71632047599994</v>
      </c>
      <c r="N98" s="70">
        <f t="shared" si="42"/>
        <v>249.76252668532305</v>
      </c>
      <c r="O98" s="70">
        <f t="shared" si="42"/>
        <v>276.46111955718231</v>
      </c>
    </row>
    <row r="99" spans="2:15" x14ac:dyDescent="0.25">
      <c r="B99" s="68" t="s">
        <v>83</v>
      </c>
      <c r="C99" s="68"/>
      <c r="D99" s="68"/>
      <c r="E99" s="68"/>
      <c r="F99" s="68"/>
      <c r="G99" s="68"/>
      <c r="H99" s="68"/>
      <c r="I99" s="68"/>
      <c r="J99" s="69">
        <f>$E$25</f>
        <v>75</v>
      </c>
      <c r="K99" s="69">
        <f t="shared" ref="K99:O99" si="43">$E$25</f>
        <v>75</v>
      </c>
      <c r="L99" s="69">
        <f t="shared" si="43"/>
        <v>75</v>
      </c>
      <c r="M99" s="69">
        <f t="shared" si="43"/>
        <v>75</v>
      </c>
      <c r="N99" s="69">
        <f t="shared" si="43"/>
        <v>75</v>
      </c>
      <c r="O99" s="69">
        <f t="shared" si="43"/>
        <v>75</v>
      </c>
    </row>
    <row r="100" spans="2:15" x14ac:dyDescent="0.25">
      <c r="B100" s="65" t="s">
        <v>81</v>
      </c>
      <c r="C100" s="65"/>
      <c r="D100" s="65"/>
      <c r="E100" s="65"/>
      <c r="F100" s="65"/>
      <c r="G100" s="65"/>
      <c r="H100" s="65"/>
      <c r="I100" s="65"/>
      <c r="J100" s="65"/>
      <c r="K100" s="67">
        <f>MAX(0,K98-K99)</f>
        <v>82.795999999999765</v>
      </c>
      <c r="L100" s="67">
        <f t="shared" ref="L100:O100" si="44">MAX(0,L98-L99)</f>
        <v>120.56642999999977</v>
      </c>
      <c r="M100" s="67">
        <f t="shared" si="44"/>
        <v>147.71632047599994</v>
      </c>
      <c r="N100" s="67">
        <f t="shared" si="44"/>
        <v>174.76252668532305</v>
      </c>
      <c r="O100" s="67">
        <f t="shared" si="44"/>
        <v>201.46111955718231</v>
      </c>
    </row>
    <row r="101" spans="2:15" x14ac:dyDescent="0.25">
      <c r="B101" s="72" t="s">
        <v>87</v>
      </c>
      <c r="C101" s="65"/>
      <c r="D101" s="65"/>
      <c r="E101" s="65"/>
      <c r="F101" s="65"/>
      <c r="G101" s="65"/>
      <c r="H101" s="65"/>
      <c r="I101" s="65"/>
      <c r="J101" s="65"/>
      <c r="K101" s="67">
        <f>MAX(0,K100-K106-K113-K120)</f>
        <v>63.795999999999765</v>
      </c>
      <c r="L101" s="67">
        <f t="shared" ref="L101:O101" si="45">MAX(0,L100-L106-L113-L120)</f>
        <v>101.56642999999977</v>
      </c>
      <c r="M101" s="67">
        <f t="shared" si="45"/>
        <v>128.71632047599994</v>
      </c>
      <c r="N101" s="67">
        <f t="shared" si="45"/>
        <v>155.76252668532305</v>
      </c>
      <c r="O101" s="67">
        <f t="shared" si="45"/>
        <v>182.46111955718231</v>
      </c>
    </row>
    <row r="102" spans="2:15" x14ac:dyDescent="0.25">
      <c r="B102" s="72"/>
      <c r="C102" s="65"/>
      <c r="D102" s="65"/>
      <c r="E102" s="65"/>
      <c r="F102" s="65"/>
      <c r="G102" s="65"/>
      <c r="H102" s="65"/>
      <c r="I102" s="65"/>
      <c r="J102" s="65"/>
      <c r="K102" s="67"/>
      <c r="L102" s="67"/>
      <c r="M102" s="67"/>
      <c r="N102" s="67"/>
      <c r="O102" s="67"/>
    </row>
    <row r="103" spans="2:15" x14ac:dyDescent="0.25">
      <c r="B103" s="11" t="s">
        <v>24</v>
      </c>
    </row>
    <row r="104" spans="2:15" x14ac:dyDescent="0.25">
      <c r="B104" s="39" t="s">
        <v>79</v>
      </c>
      <c r="K104" s="30">
        <f>J108</f>
        <v>150</v>
      </c>
      <c r="L104" s="41">
        <f t="shared" ref="L104:O104" si="46">K108</f>
        <v>86.204000000000235</v>
      </c>
      <c r="M104" s="41">
        <f t="shared" si="46"/>
        <v>0</v>
      </c>
      <c r="N104" s="41">
        <f t="shared" si="46"/>
        <v>0</v>
      </c>
      <c r="O104" s="41">
        <f t="shared" si="46"/>
        <v>0</v>
      </c>
    </row>
    <row r="105" spans="2:15" x14ac:dyDescent="0.25">
      <c r="B105" s="39" t="s">
        <v>10</v>
      </c>
      <c r="K105" s="41">
        <f>K104*$N$8</f>
        <v>9.375</v>
      </c>
      <c r="L105" s="41">
        <f t="shared" ref="L105:O105" si="47">L104*$N$8</f>
        <v>5.3877500000000147</v>
      </c>
      <c r="M105" s="41">
        <f t="shared" si="47"/>
        <v>0</v>
      </c>
      <c r="N105" s="41">
        <f t="shared" si="47"/>
        <v>0</v>
      </c>
      <c r="O105" s="41">
        <f t="shared" si="47"/>
        <v>0</v>
      </c>
    </row>
    <row r="106" spans="2:15" x14ac:dyDescent="0.25">
      <c r="B106" s="39" t="s">
        <v>29</v>
      </c>
      <c r="K106" s="41">
        <v>0</v>
      </c>
      <c r="L106" s="41">
        <v>0</v>
      </c>
      <c r="M106" s="41">
        <v>0</v>
      </c>
      <c r="N106" s="41">
        <v>0</v>
      </c>
      <c r="O106" s="41">
        <v>0</v>
      </c>
    </row>
    <row r="107" spans="2:15" x14ac:dyDescent="0.25">
      <c r="B107" s="39" t="s">
        <v>82</v>
      </c>
      <c r="J107" s="10"/>
      <c r="K107" s="64">
        <f>MIN(K101,K104)</f>
        <v>63.795999999999765</v>
      </c>
      <c r="L107" s="64">
        <f t="shared" ref="L107:O107" si="48">MIN(L101,L104)</f>
        <v>86.204000000000235</v>
      </c>
      <c r="M107" s="64">
        <f t="shared" si="48"/>
        <v>0</v>
      </c>
      <c r="N107" s="64">
        <f t="shared" si="48"/>
        <v>0</v>
      </c>
      <c r="O107" s="64">
        <f t="shared" si="48"/>
        <v>0</v>
      </c>
    </row>
    <row r="108" spans="2:15" x14ac:dyDescent="0.25">
      <c r="B108" s="61" t="s">
        <v>80</v>
      </c>
      <c r="C108" s="62"/>
      <c r="D108" s="62"/>
      <c r="E108" s="62"/>
      <c r="F108" s="62"/>
      <c r="G108" s="62"/>
      <c r="H108" s="62"/>
      <c r="I108" s="62"/>
      <c r="J108" s="30">
        <f>M8</f>
        <v>150</v>
      </c>
      <c r="K108" s="41">
        <f>K104-K107</f>
        <v>86.204000000000235</v>
      </c>
      <c r="L108" s="41">
        <f>L104-L107</f>
        <v>0</v>
      </c>
      <c r="M108" s="41">
        <f>M104-M107</f>
        <v>0</v>
      </c>
      <c r="N108" s="41">
        <f>N104-N107</f>
        <v>0</v>
      </c>
      <c r="O108" s="41">
        <f>O104-O107</f>
        <v>0</v>
      </c>
    </row>
    <row r="109" spans="2:15" x14ac:dyDescent="0.25">
      <c r="B109" s="39"/>
    </row>
    <row r="110" spans="2:15" x14ac:dyDescent="0.25">
      <c r="B110" s="11" t="s">
        <v>25</v>
      </c>
    </row>
    <row r="111" spans="2:15" x14ac:dyDescent="0.25">
      <c r="B111" s="39" t="s">
        <v>79</v>
      </c>
      <c r="K111" s="30">
        <f>J115</f>
        <v>1900</v>
      </c>
      <c r="L111" s="30">
        <f t="shared" ref="L111:O111" si="49">K115</f>
        <v>1881</v>
      </c>
      <c r="M111" s="30">
        <f t="shared" si="49"/>
        <v>1846.6375700000006</v>
      </c>
      <c r="N111" s="30">
        <f t="shared" si="49"/>
        <v>1698.9212495240006</v>
      </c>
      <c r="O111" s="30">
        <f t="shared" si="49"/>
        <v>1524.1587228386775</v>
      </c>
    </row>
    <row r="112" spans="2:15" x14ac:dyDescent="0.25">
      <c r="B112" s="39" t="s">
        <v>10</v>
      </c>
      <c r="K112" s="41">
        <f>K111*$N$9</f>
        <v>133</v>
      </c>
      <c r="L112" s="41">
        <f t="shared" ref="L112:O112" si="50">L111*$N$9</f>
        <v>131.67000000000002</v>
      </c>
      <c r="M112" s="41">
        <f t="shared" si="50"/>
        <v>129.26462990000005</v>
      </c>
      <c r="N112" s="41">
        <f t="shared" si="50"/>
        <v>118.92448746668005</v>
      </c>
      <c r="O112" s="41">
        <f t="shared" si="50"/>
        <v>106.69111059870744</v>
      </c>
    </row>
    <row r="113" spans="2:15" x14ac:dyDescent="0.25">
      <c r="B113" s="39" t="s">
        <v>29</v>
      </c>
      <c r="K113" s="41">
        <f>$K$111*$O$9</f>
        <v>19</v>
      </c>
      <c r="L113" s="41">
        <f t="shared" ref="L113:O113" si="51">$K$111*$O$9</f>
        <v>19</v>
      </c>
      <c r="M113" s="41">
        <f t="shared" si="51"/>
        <v>19</v>
      </c>
      <c r="N113" s="41">
        <f t="shared" si="51"/>
        <v>19</v>
      </c>
      <c r="O113" s="41">
        <f t="shared" si="51"/>
        <v>19</v>
      </c>
    </row>
    <row r="114" spans="2:15" x14ac:dyDescent="0.25">
      <c r="B114" s="60" t="s">
        <v>84</v>
      </c>
      <c r="C114" s="10"/>
      <c r="D114" s="10"/>
      <c r="E114" s="10"/>
      <c r="F114" s="10"/>
      <c r="G114" s="10"/>
      <c r="H114" s="10"/>
      <c r="I114" s="10"/>
      <c r="J114" s="10"/>
      <c r="K114" s="64">
        <f>MIN(K111-K113,K101-K107)</f>
        <v>0</v>
      </c>
      <c r="L114" s="64">
        <f t="shared" ref="L114:O114" si="52">MIN(L111-L113,L101-L107)</f>
        <v>15.362429999999534</v>
      </c>
      <c r="M114" s="64">
        <f t="shared" si="52"/>
        <v>128.71632047599994</v>
      </c>
      <c r="N114" s="64">
        <f t="shared" si="52"/>
        <v>155.76252668532305</v>
      </c>
      <c r="O114" s="64">
        <f t="shared" si="52"/>
        <v>182.46111955718231</v>
      </c>
    </row>
    <row r="115" spans="2:15" x14ac:dyDescent="0.25">
      <c r="B115" s="71" t="s">
        <v>80</v>
      </c>
      <c r="J115" s="30">
        <f>M9</f>
        <v>1900</v>
      </c>
      <c r="K115" s="41">
        <f>K111-K114-K113</f>
        <v>1881</v>
      </c>
      <c r="L115" s="41">
        <f t="shared" ref="L115:O115" si="53">L111-L114-L113</f>
        <v>1846.6375700000006</v>
      </c>
      <c r="M115" s="41">
        <f t="shared" si="53"/>
        <v>1698.9212495240006</v>
      </c>
      <c r="N115" s="41">
        <f t="shared" si="53"/>
        <v>1524.1587228386775</v>
      </c>
      <c r="O115" s="41">
        <f t="shared" si="53"/>
        <v>1322.697603281495</v>
      </c>
    </row>
    <row r="117" spans="2:15" x14ac:dyDescent="0.25">
      <c r="B117" s="11" t="s">
        <v>26</v>
      </c>
    </row>
    <row r="118" spans="2:15" x14ac:dyDescent="0.25">
      <c r="B118" s="39" t="s">
        <v>79</v>
      </c>
      <c r="K118" s="30">
        <f>J122</f>
        <v>350</v>
      </c>
      <c r="L118" s="30">
        <f t="shared" ref="L118:O118" si="54">K122</f>
        <v>350</v>
      </c>
      <c r="M118" s="30">
        <f t="shared" si="54"/>
        <v>350</v>
      </c>
      <c r="N118" s="30">
        <f t="shared" si="54"/>
        <v>350</v>
      </c>
      <c r="O118" s="30">
        <f t="shared" si="54"/>
        <v>350</v>
      </c>
    </row>
    <row r="119" spans="2:15" x14ac:dyDescent="0.25">
      <c r="B119" s="39" t="s">
        <v>10</v>
      </c>
      <c r="K119" s="41">
        <f>K118*$N$10</f>
        <v>30.624999999999996</v>
      </c>
      <c r="L119" s="41">
        <f t="shared" ref="L119:O119" si="55">L118*$N$10</f>
        <v>30.624999999999996</v>
      </c>
      <c r="M119" s="41">
        <f t="shared" si="55"/>
        <v>30.624999999999996</v>
      </c>
      <c r="N119" s="41">
        <f t="shared" si="55"/>
        <v>30.624999999999996</v>
      </c>
      <c r="O119" s="41">
        <f t="shared" si="55"/>
        <v>30.624999999999996</v>
      </c>
    </row>
    <row r="120" spans="2:15" x14ac:dyDescent="0.25">
      <c r="B120" s="39" t="s">
        <v>29</v>
      </c>
      <c r="K120" s="41">
        <v>0</v>
      </c>
      <c r="L120" s="41">
        <v>0</v>
      </c>
      <c r="M120" s="41">
        <v>0</v>
      </c>
      <c r="N120" s="41">
        <v>0</v>
      </c>
      <c r="O120" s="41">
        <v>0</v>
      </c>
    </row>
    <row r="121" spans="2:15" x14ac:dyDescent="0.25">
      <c r="B121" s="60" t="s">
        <v>84</v>
      </c>
      <c r="C121" s="10"/>
      <c r="D121" s="10"/>
      <c r="E121" s="10"/>
      <c r="F121" s="10"/>
      <c r="G121" s="10"/>
      <c r="H121" s="10"/>
      <c r="I121" s="10"/>
      <c r="J121" s="10"/>
      <c r="K121" s="64">
        <f>MIN(K118,K101-K107-K114)</f>
        <v>0</v>
      </c>
      <c r="L121" s="64">
        <f t="shared" ref="L121:O121" si="56">MIN(L118,L101-L107-L114)</f>
        <v>0</v>
      </c>
      <c r="M121" s="64">
        <f t="shared" si="56"/>
        <v>0</v>
      </c>
      <c r="N121" s="64">
        <f t="shared" si="56"/>
        <v>0</v>
      </c>
      <c r="O121" s="64">
        <f t="shared" si="56"/>
        <v>0</v>
      </c>
    </row>
    <row r="122" spans="2:15" x14ac:dyDescent="0.25">
      <c r="B122" s="71" t="s">
        <v>80</v>
      </c>
      <c r="J122" s="30">
        <f>M10</f>
        <v>350</v>
      </c>
      <c r="K122" s="18">
        <f>K118-K121</f>
        <v>350</v>
      </c>
      <c r="L122" s="18">
        <f t="shared" ref="L122:O122" si="57">L118-L121</f>
        <v>350</v>
      </c>
      <c r="M122" s="18">
        <f t="shared" si="57"/>
        <v>350</v>
      </c>
      <c r="N122" s="18">
        <f t="shared" si="57"/>
        <v>350</v>
      </c>
      <c r="O122" s="18">
        <f t="shared" si="57"/>
        <v>350</v>
      </c>
    </row>
    <row r="124" spans="2:15" x14ac:dyDescent="0.25">
      <c r="B124" s="11" t="s">
        <v>85</v>
      </c>
    </row>
    <row r="125" spans="2:15" x14ac:dyDescent="0.25">
      <c r="B125" s="39" t="s">
        <v>79</v>
      </c>
      <c r="K125" s="18">
        <f>J129</f>
        <v>2400</v>
      </c>
      <c r="L125" s="18">
        <f t="shared" ref="L125:O125" si="58">K129</f>
        <v>2317.2040000000002</v>
      </c>
      <c r="M125" s="18">
        <f t="shared" si="58"/>
        <v>2196.6375700000008</v>
      </c>
      <c r="N125" s="18">
        <f t="shared" si="58"/>
        <v>2048.9212495240008</v>
      </c>
      <c r="O125" s="18">
        <f t="shared" si="58"/>
        <v>1874.1587228386775</v>
      </c>
    </row>
    <row r="126" spans="2:15" x14ac:dyDescent="0.25">
      <c r="B126" s="39" t="s">
        <v>10</v>
      </c>
      <c r="K126" s="18">
        <f>K119+K112+K105</f>
        <v>173</v>
      </c>
      <c r="L126" s="18">
        <f t="shared" ref="L126:O126" si="59">L119+L112+L105</f>
        <v>167.68275000000003</v>
      </c>
      <c r="M126" s="18">
        <f t="shared" si="59"/>
        <v>159.88962990000005</v>
      </c>
      <c r="N126" s="18">
        <f t="shared" si="59"/>
        <v>149.54948746668003</v>
      </c>
      <c r="O126" s="18">
        <f t="shared" si="59"/>
        <v>137.31611059870744</v>
      </c>
    </row>
    <row r="127" spans="2:15" x14ac:dyDescent="0.25">
      <c r="B127" s="39" t="s">
        <v>29</v>
      </c>
      <c r="K127" s="18">
        <f>K120+K113+K106</f>
        <v>19</v>
      </c>
      <c r="L127" s="18">
        <f t="shared" ref="L127:O127" si="60">L120+L113+L106</f>
        <v>19</v>
      </c>
      <c r="M127" s="18">
        <f t="shared" si="60"/>
        <v>19</v>
      </c>
      <c r="N127" s="18">
        <f t="shared" si="60"/>
        <v>19</v>
      </c>
      <c r="O127" s="18">
        <f t="shared" si="60"/>
        <v>19</v>
      </c>
    </row>
    <row r="128" spans="2:15" x14ac:dyDescent="0.25">
      <c r="B128" s="60" t="s">
        <v>82</v>
      </c>
      <c r="C128" s="10"/>
      <c r="D128" s="10"/>
      <c r="E128" s="10"/>
      <c r="F128" s="10"/>
      <c r="G128" s="10"/>
      <c r="H128" s="10"/>
      <c r="I128" s="10"/>
      <c r="J128" s="10"/>
      <c r="K128" s="63">
        <f>K121+K114+K107</f>
        <v>63.795999999999765</v>
      </c>
      <c r="L128" s="63">
        <f t="shared" ref="L128:O128" si="61">L121+L114+L107</f>
        <v>101.56642999999977</v>
      </c>
      <c r="M128" s="63">
        <f t="shared" si="61"/>
        <v>128.71632047599994</v>
      </c>
      <c r="N128" s="63">
        <f t="shared" si="61"/>
        <v>155.76252668532305</v>
      </c>
      <c r="O128" s="63">
        <f t="shared" si="61"/>
        <v>182.46111955718231</v>
      </c>
    </row>
    <row r="129" spans="1:15" x14ac:dyDescent="0.25">
      <c r="B129" s="11" t="s">
        <v>86</v>
      </c>
      <c r="J129" s="43">
        <f>J122+J115+J108</f>
        <v>2400</v>
      </c>
      <c r="K129" s="43">
        <f t="shared" ref="K129:O129" si="62">K122+K115+K108</f>
        <v>2317.2040000000002</v>
      </c>
      <c r="L129" s="43">
        <f t="shared" si="62"/>
        <v>2196.6375700000008</v>
      </c>
      <c r="M129" s="43">
        <f t="shared" si="62"/>
        <v>2048.9212495240008</v>
      </c>
      <c r="N129" s="43">
        <f t="shared" si="62"/>
        <v>1874.1587228386775</v>
      </c>
      <c r="O129" s="43">
        <f t="shared" si="62"/>
        <v>1672.697603281495</v>
      </c>
    </row>
    <row r="131" spans="1:15" x14ac:dyDescent="0.25">
      <c r="A131" s="4" t="s">
        <v>0</v>
      </c>
      <c r="B131" s="5" t="s">
        <v>34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5.0999999999999996" customHeight="1" x14ac:dyDescent="0.25"/>
    <row r="133" spans="1:15" x14ac:dyDescent="0.25">
      <c r="B133" s="4" t="s">
        <v>88</v>
      </c>
      <c r="O133" s="30">
        <f>O63</f>
        <v>679.22123948910007</v>
      </c>
    </row>
    <row r="134" spans="1:15" x14ac:dyDescent="0.25">
      <c r="B134" s="10" t="s">
        <v>31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78">
        <f>E27</f>
        <v>7.5</v>
      </c>
    </row>
    <row r="135" spans="1:15" x14ac:dyDescent="0.25">
      <c r="B135" s="11" t="s">
        <v>19</v>
      </c>
      <c r="O135" s="43">
        <f>O133*O134</f>
        <v>5094.1592961682509</v>
      </c>
    </row>
    <row r="136" spans="1:15" x14ac:dyDescent="0.25">
      <c r="B136" s="4" t="s">
        <v>89</v>
      </c>
      <c r="O136" s="18">
        <f>O129-O99</f>
        <v>1597.697603281495</v>
      </c>
    </row>
    <row r="137" spans="1:15" x14ac:dyDescent="0.25">
      <c r="B137" s="11" t="s">
        <v>90</v>
      </c>
      <c r="O137" s="43">
        <f>O135-O136</f>
        <v>3496.4616928867558</v>
      </c>
    </row>
    <row r="139" spans="1:15" x14ac:dyDescent="0.25">
      <c r="B139" s="4" t="s">
        <v>91</v>
      </c>
      <c r="O139" s="30">
        <f>E38</f>
        <v>1482.5</v>
      </c>
    </row>
    <row r="141" spans="1:15" x14ac:dyDescent="0.25">
      <c r="B141" s="74" t="s">
        <v>33</v>
      </c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82">
        <f>O137/O139</f>
        <v>2.3584901806993295</v>
      </c>
    </row>
    <row r="142" spans="1:15" x14ac:dyDescent="0.25">
      <c r="B142" s="76" t="s">
        <v>34</v>
      </c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83">
        <f>O141^(1/5)-1</f>
        <v>0.18720800014316175</v>
      </c>
    </row>
    <row r="144" spans="1:15" x14ac:dyDescent="0.25">
      <c r="A144" s="4" t="s">
        <v>0</v>
      </c>
      <c r="B144" s="5" t="s">
        <v>93</v>
      </c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</row>
    <row r="145" spans="2:11" ht="5.0999999999999996" customHeight="1" x14ac:dyDescent="0.25"/>
    <row r="146" spans="2:11" x14ac:dyDescent="0.25">
      <c r="B146" s="89"/>
      <c r="C146" s="90"/>
      <c r="D146" s="90"/>
      <c r="E146" s="90"/>
      <c r="F146" s="97" t="s">
        <v>18</v>
      </c>
      <c r="G146" s="90"/>
      <c r="H146" s="91"/>
    </row>
    <row r="147" spans="2:11" x14ac:dyDescent="0.25">
      <c r="B147" s="92"/>
      <c r="C147" s="93"/>
      <c r="D147" s="93"/>
      <c r="E147" s="93"/>
      <c r="F147" s="93"/>
      <c r="G147" s="93"/>
      <c r="H147" s="94"/>
    </row>
    <row r="148" spans="2:11" x14ac:dyDescent="0.25">
      <c r="B148" s="92"/>
      <c r="C148" s="100">
        <f>I18</f>
        <v>0.18720800014316175</v>
      </c>
      <c r="D148" s="98">
        <v>8.5</v>
      </c>
      <c r="E148" s="98">
        <v>8</v>
      </c>
      <c r="F148" s="98">
        <v>7.5</v>
      </c>
      <c r="G148" s="98">
        <v>7</v>
      </c>
      <c r="H148" s="99">
        <v>6.5</v>
      </c>
      <c r="K148" s="88"/>
    </row>
    <row r="149" spans="2:11" ht="15.75" customHeight="1" x14ac:dyDescent="0.25">
      <c r="B149" s="117" t="s">
        <v>31</v>
      </c>
      <c r="C149" s="95">
        <v>6.5</v>
      </c>
      <c r="D149" s="101">
        <f t="dataTable" ref="D149:H153" dt2D="1" dtr="1" r1="E23" r2="E27"/>
        <v>7.2268025445917594E-2</v>
      </c>
      <c r="E149" s="102">
        <v>0.10180537669550471</v>
      </c>
      <c r="F149" s="111">
        <v>0.1370140801240316</v>
      </c>
      <c r="G149" s="102">
        <v>0.18027650201213663</v>
      </c>
      <c r="H149" s="103">
        <v>0.23578076173907792</v>
      </c>
      <c r="K149" s="88"/>
    </row>
    <row r="150" spans="2:11" x14ac:dyDescent="0.25">
      <c r="B150" s="117"/>
      <c r="C150" s="95">
        <v>7</v>
      </c>
      <c r="D150" s="104">
        <v>9.6956463328444764E-2</v>
      </c>
      <c r="E150" s="105">
        <v>0.12717389739709795</v>
      </c>
      <c r="F150" s="112">
        <v>0.16319326370737786</v>
      </c>
      <c r="G150" s="105">
        <v>0.20745178133841802</v>
      </c>
      <c r="H150" s="106">
        <v>0.26423399903478995</v>
      </c>
    </row>
    <row r="151" spans="2:11" x14ac:dyDescent="0.25">
      <c r="B151" s="117"/>
      <c r="C151" s="95">
        <v>7.5</v>
      </c>
      <c r="D151" s="115">
        <v>0.11960370619881733</v>
      </c>
      <c r="E151" s="112">
        <v>0.15044499507953457</v>
      </c>
      <c r="F151" s="113">
        <v>0.18720800014316175</v>
      </c>
      <c r="G151" s="112">
        <v>0.23238025813800034</v>
      </c>
      <c r="H151" s="116">
        <v>0.2903347745698992</v>
      </c>
    </row>
    <row r="152" spans="2:11" x14ac:dyDescent="0.25">
      <c r="B152" s="117"/>
      <c r="C152" s="95">
        <v>8</v>
      </c>
      <c r="D152" s="104">
        <v>0.14055420392381612</v>
      </c>
      <c r="E152" s="105">
        <v>0.17197260803642678</v>
      </c>
      <c r="F152" s="112">
        <v>0.20942353798783819</v>
      </c>
      <c r="G152" s="105">
        <v>0.25544107836528607</v>
      </c>
      <c r="H152" s="106">
        <v>0.31448006420179442</v>
      </c>
    </row>
    <row r="153" spans="2:11" x14ac:dyDescent="0.25">
      <c r="B153" s="118"/>
      <c r="C153" s="96">
        <v>8.5</v>
      </c>
      <c r="D153" s="107">
        <v>0.16006967828254748</v>
      </c>
      <c r="E153" s="108">
        <v>0.19202566759517992</v>
      </c>
      <c r="F153" s="114">
        <v>0.23011740239450007</v>
      </c>
      <c r="G153" s="108">
        <v>0.27692232677018191</v>
      </c>
      <c r="H153" s="109">
        <v>0.33697150029465295</v>
      </c>
    </row>
  </sheetData>
  <mergeCells count="1">
    <mergeCell ref="B149:B15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Norrman</dc:creator>
  <cp:lastModifiedBy>Simon Norrman</cp:lastModifiedBy>
  <dcterms:created xsi:type="dcterms:W3CDTF">2026-02-17T20:15:32Z</dcterms:created>
  <dcterms:modified xsi:type="dcterms:W3CDTF">2026-06-28T22:23:57Z</dcterms:modified>
</cp:coreProperties>
</file>